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C10CFC4-D28D-4331-88C6-9207E4D462BE}" xr6:coauthVersionLast="36" xr6:coauthVersionMax="36" xr10:uidLastSave="{00000000-0000-0000-0000-000000000000}"/>
  <bookViews>
    <workbookView xWindow="-105" yWindow="-105" windowWidth="25815" windowHeight="13905" tabRatio="760" activeTab="1" xr2:uid="{E6935320-D8F9-4419-BBCA-C8D1E5ACCE65}"/>
  </bookViews>
  <sheets>
    <sheet name="종합" sheetId="1" r:id="rId1"/>
    <sheet name="원가명세표" sheetId="2" r:id="rId2"/>
  </sheets>
  <definedNames>
    <definedName name="Car" localSheetId="1">원가명세표!$K$2</definedName>
    <definedName name="Car">#REF!</definedName>
    <definedName name="CompCode" localSheetId="1">원가명세표!$I$2</definedName>
    <definedName name="CompCode">#REF!</definedName>
    <definedName name="dd" localSheetId="1">#REF!</definedName>
    <definedName name="dd">#REF!</definedName>
    <definedName name="_xlnm.Print_Area" localSheetId="1">원가명세표!#REF!</definedName>
    <definedName name="_xlnm.Print_Titles" localSheetId="1">원가명세표!$4:$4</definedName>
    <definedName name="Process_P1" localSheetId="1">#REF!</definedName>
    <definedName name="Process_P1">#REF!</definedName>
    <definedName name="Processes" localSheetId="1">#REF!</definedName>
    <definedName name="Processes">#REF!</definedName>
    <definedName name="Uni" localSheetId="1">#REF!</definedName>
    <definedName name="Uni">#REF!</definedName>
  </definedNames>
  <calcPr calcId="179021"/>
</workbook>
</file>

<file path=xl/calcChain.xml><?xml version="1.0" encoding="utf-8"?>
<calcChain xmlns="http://schemas.openxmlformats.org/spreadsheetml/2006/main">
  <c r="K551" i="2" l="1"/>
  <c r="K550" i="2" l="1"/>
  <c r="I550" i="2"/>
  <c r="K549" i="2"/>
  <c r="I549" i="2"/>
  <c r="I271" i="2"/>
  <c r="K271" i="2" s="1"/>
  <c r="I400" i="2"/>
  <c r="K400" i="2" s="1"/>
  <c r="K511" i="2"/>
  <c r="I514" i="2"/>
  <c r="K514" i="2" s="1"/>
  <c r="I520" i="2"/>
  <c r="K520" i="2" s="1"/>
  <c r="I385" i="2"/>
  <c r="K385" i="2" s="1"/>
  <c r="I384" i="2"/>
  <c r="K384" i="2" s="1"/>
  <c r="I383" i="2"/>
  <c r="K383" i="2" s="1"/>
  <c r="I382" i="2"/>
  <c r="K382" i="2" s="1"/>
  <c r="I381" i="2"/>
  <c r="K381" i="2" s="1"/>
  <c r="I380" i="2"/>
  <c r="K380" i="2" s="1"/>
  <c r="I379" i="2"/>
  <c r="K379" i="2" s="1"/>
  <c r="I378" i="2"/>
  <c r="K378" i="2" s="1"/>
  <c r="I377" i="2"/>
  <c r="K377" i="2" s="1"/>
  <c r="I376" i="2"/>
  <c r="K376" i="2" s="1"/>
  <c r="I375" i="2"/>
  <c r="K375" i="2" s="1"/>
  <c r="I374" i="2"/>
  <c r="K374" i="2" s="1"/>
  <c r="I373" i="2"/>
  <c r="K373" i="2" s="1"/>
  <c r="I372" i="2"/>
  <c r="K372" i="2" s="1"/>
  <c r="I371" i="2"/>
  <c r="K371" i="2" s="1"/>
  <c r="I370" i="2"/>
  <c r="K370" i="2" s="1"/>
  <c r="I369" i="2"/>
  <c r="K369" i="2" s="1"/>
  <c r="I368" i="2"/>
  <c r="K368" i="2" s="1"/>
  <c r="I367" i="2"/>
  <c r="K367" i="2" s="1"/>
  <c r="I366" i="2"/>
  <c r="K366" i="2" s="1"/>
  <c r="I365" i="2"/>
  <c r="K365" i="2" s="1"/>
  <c r="I364" i="2"/>
  <c r="K364" i="2" s="1"/>
  <c r="I363" i="2"/>
  <c r="K363" i="2" s="1"/>
  <c r="I362" i="2"/>
  <c r="K362" i="2" s="1"/>
  <c r="I361" i="2"/>
  <c r="K361" i="2" s="1"/>
  <c r="I360" i="2"/>
  <c r="K360" i="2" s="1"/>
  <c r="I359" i="2"/>
  <c r="K359" i="2" s="1"/>
  <c r="I358" i="2"/>
  <c r="K358" i="2" s="1"/>
  <c r="I357" i="2"/>
  <c r="K357" i="2" s="1"/>
  <c r="I356" i="2"/>
  <c r="K356" i="2" s="1"/>
  <c r="I355" i="2"/>
  <c r="K355" i="2" s="1"/>
  <c r="I354" i="2"/>
  <c r="K354" i="2" s="1"/>
  <c r="I353" i="2"/>
  <c r="K353" i="2" s="1"/>
  <c r="I352" i="2"/>
  <c r="K352" i="2" s="1"/>
  <c r="I351" i="2"/>
  <c r="K351" i="2" s="1"/>
  <c r="I350" i="2"/>
  <c r="K350" i="2" s="1"/>
  <c r="I349" i="2"/>
  <c r="K349" i="2" s="1"/>
  <c r="I348" i="2"/>
  <c r="K348" i="2" s="1"/>
  <c r="I347" i="2"/>
  <c r="K347" i="2" s="1"/>
  <c r="I346" i="2"/>
  <c r="K346" i="2" s="1"/>
  <c r="I345" i="2"/>
  <c r="K345" i="2" s="1"/>
  <c r="I344" i="2"/>
  <c r="K344" i="2" s="1"/>
  <c r="I343" i="2"/>
  <c r="K343" i="2" s="1"/>
  <c r="I342" i="2"/>
  <c r="K342" i="2" s="1"/>
  <c r="I341" i="2"/>
  <c r="K341" i="2" s="1"/>
  <c r="I340" i="2"/>
  <c r="K340" i="2" s="1"/>
  <c r="I339" i="2"/>
  <c r="K339" i="2" s="1"/>
  <c r="I338" i="2"/>
  <c r="K338" i="2" s="1"/>
  <c r="I337" i="2"/>
  <c r="K337" i="2" s="1"/>
  <c r="I336" i="2"/>
  <c r="K336" i="2" s="1"/>
  <c r="I335" i="2"/>
  <c r="K335" i="2" s="1"/>
  <c r="I334" i="2"/>
  <c r="K334" i="2" s="1"/>
  <c r="I333" i="2"/>
  <c r="K333" i="2" s="1"/>
  <c r="I332" i="2"/>
  <c r="K332" i="2" s="1"/>
  <c r="I331" i="2"/>
  <c r="K331" i="2" s="1"/>
  <c r="I330" i="2"/>
  <c r="K330" i="2" s="1"/>
  <c r="I329" i="2"/>
  <c r="K329" i="2" s="1"/>
  <c r="I328" i="2"/>
  <c r="K328" i="2" s="1"/>
  <c r="I327" i="2"/>
  <c r="K327" i="2" s="1"/>
  <c r="I326" i="2"/>
  <c r="K326" i="2" s="1"/>
  <c r="I325" i="2"/>
  <c r="K325" i="2" s="1"/>
  <c r="I324" i="2"/>
  <c r="K324" i="2" s="1"/>
  <c r="I323" i="2"/>
  <c r="K323" i="2" s="1"/>
  <c r="I322" i="2"/>
  <c r="K322" i="2" s="1"/>
  <c r="I321" i="2"/>
  <c r="K321" i="2" s="1"/>
  <c r="I320" i="2"/>
  <c r="K320" i="2" s="1"/>
  <c r="I319" i="2"/>
  <c r="K319" i="2" s="1"/>
  <c r="H318" i="2"/>
  <c r="I318" i="2" s="1"/>
  <c r="K318" i="2" s="1"/>
  <c r="H317" i="2"/>
  <c r="I317" i="2" s="1"/>
  <c r="K317" i="2" s="1"/>
  <c r="I316" i="2"/>
  <c r="K316" i="2" s="1"/>
  <c r="I315" i="2"/>
  <c r="K315" i="2" s="1"/>
  <c r="I314" i="2"/>
  <c r="K314" i="2" s="1"/>
  <c r="I313" i="2"/>
  <c r="K313" i="2" s="1"/>
  <c r="I312" i="2"/>
  <c r="K312" i="2" s="1"/>
  <c r="I311" i="2"/>
  <c r="K311" i="2" s="1"/>
  <c r="I310" i="2"/>
  <c r="K310" i="2" s="1"/>
  <c r="I309" i="2"/>
  <c r="K309" i="2" s="1"/>
  <c r="K308" i="2"/>
  <c r="I307" i="2"/>
  <c r="K307" i="2" s="1"/>
  <c r="I306" i="2"/>
  <c r="K306" i="2" s="1"/>
  <c r="I305" i="2"/>
  <c r="K305" i="2" s="1"/>
  <c r="I304" i="2"/>
  <c r="K304" i="2" s="1"/>
  <c r="I303" i="2"/>
  <c r="K303" i="2" s="1"/>
  <c r="I302" i="2"/>
  <c r="K302" i="2" s="1"/>
  <c r="I301" i="2"/>
  <c r="K301" i="2" s="1"/>
  <c r="I300" i="2"/>
  <c r="K300" i="2" s="1"/>
  <c r="I284" i="2" l="1"/>
  <c r="K284" i="2" s="1"/>
  <c r="I118" i="2"/>
  <c r="K118" i="2" s="1"/>
  <c r="I15" i="2"/>
  <c r="K15" i="2" s="1"/>
  <c r="K188" i="2"/>
  <c r="I283" i="2"/>
  <c r="K283" i="2" s="1"/>
  <c r="I270" i="2"/>
  <c r="K270" i="2" s="1"/>
  <c r="I14" i="2"/>
  <c r="K14" i="2" s="1"/>
  <c r="I257" i="2"/>
  <c r="K257" i="2" s="1"/>
  <c r="I256" i="2"/>
  <c r="K256" i="2" s="1"/>
  <c r="I282" i="2"/>
  <c r="K282" i="2" s="1"/>
  <c r="I107" i="2"/>
  <c r="K107" i="2" s="1"/>
  <c r="I269" i="2"/>
  <c r="K269" i="2" s="1"/>
  <c r="I268" i="2"/>
  <c r="K268" i="2" s="1"/>
  <c r="I90" i="2"/>
  <c r="K90" i="2" s="1"/>
  <c r="I117" i="2"/>
  <c r="K117" i="2" s="1"/>
  <c r="I106" i="2"/>
  <c r="K106" i="2" s="1"/>
  <c r="I104" i="2"/>
  <c r="K104" i="2" s="1"/>
  <c r="I103" i="2"/>
  <c r="K103" i="2" s="1"/>
  <c r="I17" i="2"/>
  <c r="I77" i="2"/>
  <c r="K77" i="2" s="1"/>
  <c r="I152" i="2"/>
  <c r="I151" i="2"/>
  <c r="I150" i="2"/>
  <c r="I515" i="2"/>
  <c r="K515" i="2" s="1"/>
  <c r="I403" i="2"/>
  <c r="I29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12" i="2"/>
  <c r="I205" i="2"/>
  <c r="I153" i="2"/>
  <c r="I112" i="2"/>
  <c r="I73" i="2"/>
  <c r="I32" i="2"/>
  <c r="I33" i="2"/>
  <c r="I25" i="2"/>
  <c r="I26" i="2"/>
  <c r="I27" i="2"/>
  <c r="I28" i="2"/>
  <c r="I29" i="2"/>
  <c r="I30" i="2"/>
  <c r="I31" i="2"/>
  <c r="I24" i="2"/>
  <c r="I34" i="2"/>
  <c r="G41" i="2" l="1"/>
  <c r="I105" i="2" l="1"/>
  <c r="K105" i="2" s="1"/>
  <c r="I115" i="2"/>
  <c r="K115" i="2" s="1"/>
  <c r="I114" i="2"/>
  <c r="K114" i="2" s="1"/>
  <c r="I116" i="2"/>
  <c r="K116" i="2" s="1"/>
  <c r="I41" i="2"/>
  <c r="K41" i="2" s="1"/>
  <c r="I200" i="2"/>
  <c r="K200" i="2" s="1"/>
  <c r="I199" i="2"/>
  <c r="K199" i="2" s="1"/>
  <c r="I198" i="2"/>
  <c r="K198" i="2" s="1"/>
  <c r="I197" i="2"/>
  <c r="K197" i="2" s="1"/>
  <c r="I196" i="2"/>
  <c r="K196" i="2" s="1"/>
  <c r="I195" i="2"/>
  <c r="K195" i="2" s="1"/>
  <c r="I194" i="2"/>
  <c r="K194" i="2" s="1"/>
  <c r="I193" i="2"/>
  <c r="K193" i="2" s="1"/>
  <c r="I192" i="2"/>
  <c r="K192" i="2" s="1"/>
  <c r="I191" i="2"/>
  <c r="K191" i="2" s="1"/>
  <c r="I190" i="2"/>
  <c r="K190" i="2" s="1"/>
  <c r="I189" i="2"/>
  <c r="K189" i="2" s="1"/>
  <c r="I187" i="2"/>
  <c r="K187" i="2" s="1"/>
  <c r="I186" i="2"/>
  <c r="K186" i="2" s="1"/>
  <c r="I185" i="2"/>
  <c r="K185" i="2" s="1"/>
  <c r="I184" i="2"/>
  <c r="K184" i="2" s="1"/>
  <c r="I183" i="2"/>
  <c r="K183" i="2" s="1"/>
  <c r="I113" i="2"/>
  <c r="K113" i="2" s="1"/>
  <c r="K112" i="2"/>
  <c r="I111" i="2"/>
  <c r="K111" i="2" s="1"/>
  <c r="I110" i="2"/>
  <c r="K110" i="2" s="1"/>
  <c r="I109" i="2"/>
  <c r="K109" i="2" s="1"/>
  <c r="I108" i="2"/>
  <c r="K108" i="2" s="1"/>
  <c r="I102" i="2"/>
  <c r="K102" i="2" s="1"/>
  <c r="I101" i="2"/>
  <c r="K101" i="2" s="1"/>
  <c r="I100" i="2"/>
  <c r="K100" i="2" s="1"/>
  <c r="I99" i="2"/>
  <c r="K99" i="2" s="1"/>
  <c r="I98" i="2"/>
  <c r="K98" i="2" s="1"/>
  <c r="I97" i="2"/>
  <c r="K97" i="2" s="1"/>
  <c r="I96" i="2"/>
  <c r="K96" i="2" s="1"/>
  <c r="I95" i="2"/>
  <c r="K95" i="2" s="1"/>
  <c r="I94" i="2"/>
  <c r="K94" i="2" s="1"/>
  <c r="I93" i="2"/>
  <c r="K93" i="2" s="1"/>
  <c r="I92" i="2"/>
  <c r="K92" i="2" s="1"/>
  <c r="I91" i="2"/>
  <c r="K91" i="2" s="1"/>
  <c r="I89" i="2"/>
  <c r="K89" i="2" s="1"/>
  <c r="I88" i="2"/>
  <c r="K88" i="2" s="1"/>
  <c r="I87" i="2"/>
  <c r="K87" i="2" s="1"/>
  <c r="I86" i="2"/>
  <c r="K86" i="2" s="1"/>
  <c r="I85" i="2"/>
  <c r="K85" i="2" s="1"/>
  <c r="I84" i="2"/>
  <c r="K84" i="2" s="1"/>
  <c r="I82" i="2"/>
  <c r="K82" i="2" s="1"/>
  <c r="I81" i="2"/>
  <c r="K81" i="2" s="1"/>
  <c r="I80" i="2"/>
  <c r="K80" i="2" s="1"/>
  <c r="I79" i="2"/>
  <c r="K79" i="2" s="1"/>
  <c r="I78" i="2"/>
  <c r="K78" i="2" s="1"/>
  <c r="I76" i="2"/>
  <c r="K76" i="2" s="1"/>
  <c r="I75" i="2"/>
  <c r="K75" i="2" s="1"/>
  <c r="I74" i="2"/>
  <c r="K74" i="2" s="1"/>
  <c r="K73" i="2"/>
  <c r="I72" i="2"/>
  <c r="K72" i="2" s="1"/>
  <c r="I71" i="2"/>
  <c r="K71" i="2" s="1"/>
  <c r="I70" i="2"/>
  <c r="K70" i="2" s="1"/>
  <c r="I69" i="2"/>
  <c r="K69" i="2" s="1"/>
  <c r="I68" i="2"/>
  <c r="K68" i="2" s="1"/>
  <c r="I67" i="2"/>
  <c r="K67" i="2" s="1"/>
  <c r="I66" i="2"/>
  <c r="K66" i="2" s="1"/>
  <c r="I65" i="2"/>
  <c r="K65" i="2" s="1"/>
  <c r="I64" i="2"/>
  <c r="K64" i="2" s="1"/>
  <c r="I63" i="2"/>
  <c r="K63" i="2" s="1"/>
  <c r="I62" i="2"/>
  <c r="K62" i="2" s="1"/>
  <c r="I61" i="2"/>
  <c r="K61" i="2" s="1"/>
  <c r="I60" i="2"/>
  <c r="K60" i="2" s="1"/>
  <c r="I59" i="2"/>
  <c r="K59" i="2" s="1"/>
  <c r="I58" i="2"/>
  <c r="K58" i="2" s="1"/>
  <c r="I57" i="2"/>
  <c r="K57" i="2" s="1"/>
  <c r="I56" i="2"/>
  <c r="K56" i="2" s="1"/>
  <c r="I55" i="2"/>
  <c r="K55" i="2" s="1"/>
  <c r="I54" i="2"/>
  <c r="K54" i="2" s="1"/>
  <c r="I53" i="2"/>
  <c r="K53" i="2" s="1"/>
  <c r="I52" i="2"/>
  <c r="K52" i="2" s="1"/>
  <c r="I51" i="2"/>
  <c r="K51" i="2" s="1"/>
  <c r="I50" i="2"/>
  <c r="K50" i="2" s="1"/>
  <c r="I49" i="2"/>
  <c r="K49" i="2" s="1"/>
  <c r="I48" i="2"/>
  <c r="K48" i="2" s="1"/>
  <c r="I47" i="2"/>
  <c r="K47" i="2" s="1"/>
  <c r="I46" i="2"/>
  <c r="K46" i="2" s="1"/>
  <c r="I45" i="2"/>
  <c r="K45" i="2" s="1"/>
  <c r="I44" i="2"/>
  <c r="K44" i="2" s="1"/>
  <c r="I43" i="2"/>
  <c r="K43" i="2" s="1"/>
  <c r="I42" i="2"/>
  <c r="K42" i="2" s="1"/>
  <c r="I40" i="2"/>
  <c r="K40" i="2" s="1"/>
  <c r="I39" i="2"/>
  <c r="K39" i="2" s="1"/>
  <c r="I38" i="2"/>
  <c r="K38" i="2" s="1"/>
  <c r="I37" i="2"/>
  <c r="K37" i="2" s="1"/>
  <c r="I36" i="2"/>
  <c r="K36" i="2" s="1"/>
  <c r="I35" i="2"/>
  <c r="K35" i="2" s="1"/>
  <c r="K34" i="2"/>
  <c r="K33" i="2"/>
  <c r="K32" i="2"/>
  <c r="K31" i="2"/>
  <c r="K30" i="2"/>
  <c r="K29" i="2"/>
  <c r="K28" i="2"/>
  <c r="K27" i="2"/>
  <c r="K26" i="2"/>
  <c r="K25" i="2"/>
  <c r="K24" i="2"/>
  <c r="I22" i="2"/>
  <c r="K22" i="2" s="1"/>
  <c r="I21" i="2"/>
  <c r="K21" i="2" s="1"/>
  <c r="I20" i="2"/>
  <c r="K20" i="2" s="1"/>
  <c r="I19" i="2"/>
  <c r="K19" i="2" s="1"/>
  <c r="I18" i="2"/>
  <c r="K18" i="2" s="1"/>
  <c r="K17" i="2"/>
  <c r="I16" i="2"/>
  <c r="K16" i="2" s="1"/>
  <c r="I13" i="2"/>
  <c r="K13" i="2" s="1"/>
  <c r="I12" i="2"/>
  <c r="K12" i="2" s="1"/>
  <c r="I11" i="2"/>
  <c r="K11" i="2" s="1"/>
  <c r="I10" i="2"/>
  <c r="K10" i="2" s="1"/>
  <c r="I9" i="2"/>
  <c r="K9" i="2" s="1"/>
  <c r="I8" i="2"/>
  <c r="K8" i="2" s="1"/>
  <c r="I7" i="2"/>
  <c r="K7" i="2" s="1"/>
  <c r="I6" i="2"/>
  <c r="K6" i="2" s="1"/>
  <c r="I5" i="2"/>
  <c r="K5" i="2" s="1"/>
  <c r="I182" i="2"/>
  <c r="K182" i="2" s="1"/>
  <c r="I181" i="2"/>
  <c r="K181" i="2" s="1"/>
  <c r="I180" i="2"/>
  <c r="K180" i="2" s="1"/>
  <c r="I179" i="2"/>
  <c r="K179" i="2" s="1"/>
  <c r="I178" i="2"/>
  <c r="K178" i="2" s="1"/>
  <c r="I177" i="2"/>
  <c r="K177" i="2" s="1"/>
  <c r="I176" i="2"/>
  <c r="K176" i="2" s="1"/>
  <c r="I175" i="2"/>
  <c r="K175" i="2" s="1"/>
  <c r="I174" i="2"/>
  <c r="K174" i="2" s="1"/>
  <c r="I173" i="2"/>
  <c r="K173" i="2" s="1"/>
  <c r="I172" i="2"/>
  <c r="K172" i="2" s="1"/>
  <c r="I171" i="2"/>
  <c r="K171" i="2" s="1"/>
  <c r="I170" i="2"/>
  <c r="K170" i="2" s="1"/>
  <c r="I169" i="2"/>
  <c r="K169" i="2" s="1"/>
  <c r="I168" i="2"/>
  <c r="K168" i="2" s="1"/>
  <c r="I167" i="2"/>
  <c r="K167" i="2" s="1"/>
  <c r="I166" i="2"/>
  <c r="K166" i="2" s="1"/>
  <c r="I165" i="2"/>
  <c r="K165" i="2" s="1"/>
  <c r="I164" i="2"/>
  <c r="K164" i="2" s="1"/>
  <c r="I163" i="2"/>
  <c r="K163" i="2" s="1"/>
  <c r="I162" i="2"/>
  <c r="K162" i="2" s="1"/>
  <c r="I161" i="2"/>
  <c r="K161" i="2" s="1"/>
  <c r="I160" i="2"/>
  <c r="K160" i="2" s="1"/>
  <c r="I159" i="2"/>
  <c r="K159" i="2" s="1"/>
  <c r="I158" i="2"/>
  <c r="K158" i="2" s="1"/>
  <c r="I157" i="2"/>
  <c r="K157" i="2" s="1"/>
  <c r="I156" i="2"/>
  <c r="K156" i="2" s="1"/>
  <c r="I155" i="2"/>
  <c r="K155" i="2" s="1"/>
  <c r="I154" i="2"/>
  <c r="K154" i="2" s="1"/>
  <c r="K153" i="2"/>
  <c r="K152" i="2"/>
  <c r="K151" i="2"/>
  <c r="K150" i="2"/>
  <c r="I149" i="2"/>
  <c r="K149" i="2" s="1"/>
  <c r="I148" i="2"/>
  <c r="K148" i="2" s="1"/>
  <c r="I147" i="2"/>
  <c r="K147" i="2" s="1"/>
  <c r="I146" i="2"/>
  <c r="K146" i="2" s="1"/>
  <c r="I145" i="2"/>
  <c r="K145" i="2" s="1"/>
  <c r="I144" i="2"/>
  <c r="K144" i="2" s="1"/>
  <c r="I143" i="2"/>
  <c r="K143" i="2" s="1"/>
  <c r="I142" i="2"/>
  <c r="K142" i="2" s="1"/>
  <c r="I141" i="2"/>
  <c r="K141" i="2" s="1"/>
  <c r="I140" i="2"/>
  <c r="K140" i="2" s="1"/>
  <c r="I139" i="2"/>
  <c r="K139" i="2" s="1"/>
  <c r="I138" i="2"/>
  <c r="K138" i="2" s="1"/>
  <c r="I137" i="2"/>
  <c r="K137" i="2" s="1"/>
  <c r="I136" i="2"/>
  <c r="K136" i="2" s="1"/>
  <c r="I135" i="2"/>
  <c r="K135" i="2" s="1"/>
  <c r="I134" i="2"/>
  <c r="K134" i="2" s="1"/>
  <c r="I133" i="2"/>
  <c r="K133" i="2" s="1"/>
  <c r="I132" i="2"/>
  <c r="K132" i="2" s="1"/>
  <c r="I131" i="2"/>
  <c r="K131" i="2" s="1"/>
  <c r="I130" i="2"/>
  <c r="K130" i="2" s="1"/>
  <c r="I129" i="2"/>
  <c r="K129" i="2" s="1"/>
  <c r="I128" i="2"/>
  <c r="K128" i="2" s="1"/>
  <c r="I127" i="2"/>
  <c r="K127" i="2" s="1"/>
  <c r="I126" i="2"/>
  <c r="K126" i="2" s="1"/>
  <c r="I125" i="2"/>
  <c r="K125" i="2" s="1"/>
  <c r="I124" i="2"/>
  <c r="K124" i="2" s="1"/>
  <c r="I123" i="2"/>
  <c r="K123" i="2" s="1"/>
  <c r="I122" i="2"/>
  <c r="K122" i="2" s="1"/>
  <c r="I121" i="2"/>
  <c r="K121" i="2" s="1"/>
  <c r="I120" i="2"/>
  <c r="K120" i="2" s="1"/>
  <c r="K241" i="2"/>
  <c r="K240" i="2"/>
  <c r="K239" i="2"/>
  <c r="K233" i="2"/>
  <c r="K232" i="2"/>
  <c r="I211" i="2"/>
  <c r="K211" i="2" s="1"/>
  <c r="I210" i="2"/>
  <c r="K210" i="2" s="1"/>
  <c r="I209" i="2"/>
  <c r="K209" i="2" s="1"/>
  <c r="I208" i="2"/>
  <c r="K208" i="2" s="1"/>
  <c r="I207" i="2"/>
  <c r="K207" i="2" s="1"/>
  <c r="I548" i="2"/>
  <c r="K548" i="2" s="1"/>
  <c r="I547" i="2"/>
  <c r="K547" i="2" s="1"/>
  <c r="I546" i="2"/>
  <c r="K546" i="2" s="1"/>
  <c r="I545" i="2"/>
  <c r="K545" i="2" s="1"/>
  <c r="I544" i="2"/>
  <c r="K544" i="2" s="1"/>
  <c r="I543" i="2"/>
  <c r="K543" i="2" s="1"/>
  <c r="I542" i="2"/>
  <c r="K542" i="2" s="1"/>
  <c r="I541" i="2"/>
  <c r="K541" i="2" s="1"/>
  <c r="I540" i="2"/>
  <c r="K540" i="2" s="1"/>
  <c r="I539" i="2"/>
  <c r="K539" i="2" s="1"/>
  <c r="I538" i="2"/>
  <c r="K538" i="2" s="1"/>
  <c r="I537" i="2"/>
  <c r="K537" i="2" s="1"/>
  <c r="I536" i="2"/>
  <c r="K536" i="2" s="1"/>
  <c r="I535" i="2"/>
  <c r="K535" i="2" s="1"/>
  <c r="I534" i="2"/>
  <c r="K534" i="2" s="1"/>
  <c r="I533" i="2"/>
  <c r="K533" i="2" s="1"/>
  <c r="I532" i="2"/>
  <c r="K532" i="2" s="1"/>
  <c r="I531" i="2"/>
  <c r="K531" i="2" s="1"/>
  <c r="I530" i="2"/>
  <c r="K530" i="2" s="1"/>
  <c r="I529" i="2"/>
  <c r="K529" i="2" s="1"/>
  <c r="I528" i="2"/>
  <c r="K528" i="2" s="1"/>
  <c r="I527" i="2"/>
  <c r="K527" i="2" s="1"/>
  <c r="I526" i="2"/>
  <c r="K526" i="2" s="1"/>
  <c r="I525" i="2"/>
  <c r="K525" i="2" s="1"/>
  <c r="I524" i="2"/>
  <c r="K524" i="2" s="1"/>
  <c r="I523" i="2"/>
  <c r="K523" i="2" s="1"/>
  <c r="I522" i="2"/>
  <c r="K522" i="2" s="1"/>
  <c r="I521" i="2"/>
  <c r="K521" i="2" s="1"/>
  <c r="I519" i="2"/>
  <c r="K519" i="2" s="1"/>
  <c r="I518" i="2"/>
  <c r="K518" i="2" s="1"/>
  <c r="I517" i="2"/>
  <c r="K517" i="2" s="1"/>
  <c r="I516" i="2"/>
  <c r="K516" i="2" s="1"/>
  <c r="I513" i="2"/>
  <c r="K513" i="2" s="1"/>
  <c r="I512" i="2"/>
  <c r="K512" i="2" s="1"/>
  <c r="I299" i="2"/>
  <c r="K299" i="2" s="1"/>
  <c r="I510" i="2"/>
  <c r="K510" i="2" s="1"/>
  <c r="I509" i="2"/>
  <c r="K509" i="2" s="1"/>
  <c r="I508" i="2"/>
  <c r="K508" i="2" s="1"/>
  <c r="I507" i="2"/>
  <c r="K507" i="2" s="1"/>
  <c r="I506" i="2"/>
  <c r="K506" i="2" s="1"/>
  <c r="I505" i="2"/>
  <c r="K505" i="2" s="1"/>
  <c r="I504" i="2"/>
  <c r="K504" i="2" s="1"/>
  <c r="I503" i="2"/>
  <c r="K503" i="2" s="1"/>
  <c r="I502" i="2"/>
  <c r="K502" i="2" s="1"/>
  <c r="I501" i="2"/>
  <c r="K501" i="2" s="1"/>
  <c r="I500" i="2"/>
  <c r="K500" i="2" s="1"/>
  <c r="I499" i="2"/>
  <c r="K499" i="2" s="1"/>
  <c r="I498" i="2"/>
  <c r="K498" i="2" s="1"/>
  <c r="I497" i="2"/>
  <c r="K497" i="2" s="1"/>
  <c r="I496" i="2"/>
  <c r="K496" i="2" s="1"/>
  <c r="I495" i="2"/>
  <c r="K495" i="2" s="1"/>
  <c r="I494" i="2"/>
  <c r="K494" i="2" s="1"/>
  <c r="I493" i="2"/>
  <c r="K493" i="2" s="1"/>
  <c r="I492" i="2"/>
  <c r="K492" i="2" s="1"/>
  <c r="I491" i="2"/>
  <c r="K491" i="2" s="1"/>
  <c r="I490" i="2"/>
  <c r="K490" i="2" s="1"/>
  <c r="I489" i="2"/>
  <c r="K489" i="2" s="1"/>
  <c r="I488" i="2"/>
  <c r="K488" i="2" s="1"/>
  <c r="I487" i="2"/>
  <c r="K487" i="2" s="1"/>
  <c r="I486" i="2"/>
  <c r="K486" i="2" s="1"/>
  <c r="I485" i="2"/>
  <c r="K485" i="2" s="1"/>
  <c r="I484" i="2"/>
  <c r="K484" i="2" s="1"/>
  <c r="I483" i="2"/>
  <c r="K483" i="2" s="1"/>
  <c r="I482" i="2"/>
  <c r="K482" i="2" s="1"/>
  <c r="I481" i="2"/>
  <c r="K481" i="2" s="1"/>
  <c r="I480" i="2"/>
  <c r="K480" i="2" s="1"/>
  <c r="I479" i="2"/>
  <c r="K479" i="2" s="1"/>
  <c r="I478" i="2"/>
  <c r="K478" i="2" s="1"/>
  <c r="I477" i="2"/>
  <c r="K477" i="2" s="1"/>
  <c r="I476" i="2"/>
  <c r="K476" i="2" s="1"/>
  <c r="I475" i="2"/>
  <c r="K475" i="2" s="1"/>
  <c r="I474" i="2"/>
  <c r="K474" i="2" s="1"/>
  <c r="I473" i="2"/>
  <c r="K473" i="2" s="1"/>
  <c r="I472" i="2"/>
  <c r="K472" i="2" s="1"/>
  <c r="I471" i="2"/>
  <c r="K471" i="2" s="1"/>
  <c r="I470" i="2"/>
  <c r="K470" i="2" s="1"/>
  <c r="I469" i="2"/>
  <c r="K469" i="2" s="1"/>
  <c r="I468" i="2"/>
  <c r="K468" i="2" s="1"/>
  <c r="I467" i="2"/>
  <c r="K467" i="2" s="1"/>
  <c r="I466" i="2"/>
  <c r="K466" i="2" s="1"/>
  <c r="I465" i="2"/>
  <c r="K465" i="2" s="1"/>
  <c r="I464" i="2"/>
  <c r="K464" i="2" s="1"/>
  <c r="I463" i="2"/>
  <c r="K463" i="2" s="1"/>
  <c r="I462" i="2"/>
  <c r="K462" i="2" s="1"/>
  <c r="I461" i="2"/>
  <c r="K461" i="2" s="1"/>
  <c r="I460" i="2"/>
  <c r="K460" i="2" s="1"/>
  <c r="I459" i="2"/>
  <c r="K459" i="2" s="1"/>
  <c r="I433" i="2"/>
  <c r="K433" i="2" s="1"/>
  <c r="I434" i="2"/>
  <c r="K434" i="2" s="1"/>
  <c r="I435" i="2"/>
  <c r="K435" i="2" s="1"/>
  <c r="I436" i="2"/>
  <c r="K436" i="2" s="1"/>
  <c r="I437" i="2"/>
  <c r="K437" i="2" s="1"/>
  <c r="I438" i="2"/>
  <c r="K438" i="2" s="1"/>
  <c r="I439" i="2"/>
  <c r="K439" i="2" s="1"/>
  <c r="I440" i="2"/>
  <c r="K440" i="2" s="1"/>
  <c r="I441" i="2"/>
  <c r="K441" i="2" s="1"/>
  <c r="I442" i="2"/>
  <c r="K442" i="2" s="1"/>
  <c r="I443" i="2"/>
  <c r="K443" i="2" s="1"/>
  <c r="I444" i="2"/>
  <c r="K444" i="2" s="1"/>
  <c r="I445" i="2"/>
  <c r="K445" i="2" s="1"/>
  <c r="I446" i="2"/>
  <c r="K446" i="2" s="1"/>
  <c r="I447" i="2"/>
  <c r="K447" i="2" s="1"/>
  <c r="I448" i="2"/>
  <c r="K448" i="2" s="1"/>
  <c r="I449" i="2"/>
  <c r="K449" i="2" s="1"/>
  <c r="I450" i="2"/>
  <c r="K450" i="2" s="1"/>
  <c r="I451" i="2"/>
  <c r="K451" i="2" s="1"/>
  <c r="I452" i="2"/>
  <c r="K452" i="2" s="1"/>
  <c r="I453" i="2"/>
  <c r="K453" i="2" s="1"/>
  <c r="I454" i="2"/>
  <c r="K454" i="2" s="1"/>
  <c r="I455" i="2"/>
  <c r="K455" i="2" s="1"/>
  <c r="I456" i="2"/>
  <c r="K456" i="2" s="1"/>
  <c r="I457" i="2"/>
  <c r="K457" i="2" s="1"/>
  <c r="I458" i="2"/>
  <c r="K458" i="2" s="1"/>
  <c r="I432" i="2"/>
  <c r="K432" i="2" s="1"/>
  <c r="I431" i="2"/>
  <c r="K431" i="2" s="1"/>
  <c r="I430" i="2"/>
  <c r="K430" i="2" s="1"/>
  <c r="I429" i="2"/>
  <c r="K429" i="2" s="1"/>
  <c r="I428" i="2"/>
  <c r="K428" i="2" s="1"/>
  <c r="I427" i="2"/>
  <c r="K427" i="2" s="1"/>
  <c r="I426" i="2"/>
  <c r="K426" i="2" s="1"/>
  <c r="I425" i="2"/>
  <c r="K425" i="2" s="1"/>
  <c r="I424" i="2"/>
  <c r="K424" i="2" s="1"/>
  <c r="I423" i="2"/>
  <c r="K423" i="2" s="1"/>
  <c r="I422" i="2"/>
  <c r="K422" i="2" s="1"/>
  <c r="I421" i="2"/>
  <c r="K421" i="2" s="1"/>
  <c r="I420" i="2"/>
  <c r="K420" i="2" s="1"/>
  <c r="I419" i="2"/>
  <c r="K419" i="2" s="1"/>
  <c r="I418" i="2"/>
  <c r="K418" i="2" s="1"/>
  <c r="I417" i="2"/>
  <c r="K417" i="2" s="1"/>
  <c r="I416" i="2"/>
  <c r="K416" i="2" s="1"/>
  <c r="I415" i="2"/>
  <c r="K415" i="2" s="1"/>
  <c r="I414" i="2"/>
  <c r="K414" i="2" s="1"/>
  <c r="I413" i="2"/>
  <c r="K413" i="2" s="1"/>
  <c r="I412" i="2"/>
  <c r="K412" i="2" s="1"/>
  <c r="I411" i="2"/>
  <c r="K411" i="2" s="1"/>
  <c r="I410" i="2"/>
  <c r="K410" i="2" s="1"/>
  <c r="I409" i="2"/>
  <c r="K409" i="2" s="1"/>
  <c r="I408" i="2"/>
  <c r="K408" i="2" s="1"/>
  <c r="I407" i="2"/>
  <c r="K407" i="2" s="1"/>
  <c r="I406" i="2"/>
  <c r="K406" i="2" s="1"/>
  <c r="I405" i="2"/>
  <c r="K405" i="2" s="1"/>
  <c r="I404" i="2"/>
  <c r="K404" i="2" s="1"/>
  <c r="K403" i="2"/>
  <c r="I402" i="2"/>
  <c r="K402" i="2" s="1"/>
  <c r="I401" i="2"/>
  <c r="K401" i="2" s="1"/>
  <c r="I399" i="2"/>
  <c r="K399" i="2" s="1"/>
  <c r="I398" i="2"/>
  <c r="K398" i="2" s="1"/>
  <c r="I397" i="2"/>
  <c r="K397" i="2" s="1"/>
  <c r="I396" i="2"/>
  <c r="K396" i="2" s="1"/>
  <c r="I395" i="2"/>
  <c r="K395" i="2" s="1"/>
  <c r="I394" i="2"/>
  <c r="K394" i="2" s="1"/>
  <c r="I393" i="2"/>
  <c r="K393" i="2" s="1"/>
  <c r="I392" i="2"/>
  <c r="K392" i="2" s="1"/>
  <c r="I391" i="2"/>
  <c r="K391" i="2" s="1"/>
  <c r="I390" i="2"/>
  <c r="K390" i="2" s="1"/>
  <c r="I389" i="2"/>
  <c r="K389" i="2" s="1"/>
  <c r="I388" i="2"/>
  <c r="K388" i="2" s="1"/>
  <c r="I387" i="2"/>
  <c r="K387" i="2" s="1"/>
  <c r="I296" i="2"/>
  <c r="K296" i="2" s="1"/>
  <c r="I295" i="2"/>
  <c r="K295" i="2" s="1"/>
  <c r="I294" i="2"/>
  <c r="K294" i="2" s="1"/>
  <c r="I293" i="2"/>
  <c r="K293" i="2" s="1"/>
  <c r="K292" i="2"/>
  <c r="I204" i="2" l="1"/>
  <c r="K204" i="2" s="1"/>
  <c r="I203" i="2"/>
  <c r="K203" i="2" s="1"/>
  <c r="I202" i="2"/>
  <c r="K202" i="2" s="1"/>
  <c r="I298" i="2"/>
  <c r="K298" i="2" s="1"/>
  <c r="I297" i="2"/>
  <c r="K297" i="2" s="1"/>
  <c r="I291" i="2"/>
  <c r="K291" i="2" s="1"/>
  <c r="I290" i="2"/>
  <c r="K290" i="2" s="1"/>
  <c r="I289" i="2"/>
  <c r="K289" i="2" s="1"/>
  <c r="I288" i="2"/>
  <c r="K288" i="2" s="1"/>
  <c r="I287" i="2"/>
  <c r="K287" i="2" s="1"/>
  <c r="I286" i="2"/>
  <c r="K286" i="2" s="1"/>
  <c r="I285" i="2"/>
  <c r="K285" i="2" s="1"/>
  <c r="I281" i="2"/>
  <c r="K281" i="2" s="1"/>
  <c r="I280" i="2"/>
  <c r="K280" i="2" s="1"/>
  <c r="I279" i="2"/>
  <c r="K279" i="2" s="1"/>
  <c r="I278" i="2"/>
  <c r="K278" i="2" s="1"/>
  <c r="I277" i="2"/>
  <c r="K277" i="2" s="1"/>
  <c r="I276" i="2"/>
  <c r="K276" i="2" s="1"/>
  <c r="I275" i="2"/>
  <c r="K275" i="2" s="1"/>
  <c r="I274" i="2"/>
  <c r="K274" i="2" s="1"/>
  <c r="I273" i="2"/>
  <c r="K273" i="2" s="1"/>
  <c r="I272" i="2"/>
  <c r="K272" i="2" s="1"/>
  <c r="I267" i="2"/>
  <c r="K267" i="2" s="1"/>
  <c r="I266" i="2"/>
  <c r="K266" i="2" s="1"/>
  <c r="I265" i="2"/>
  <c r="K265" i="2" s="1"/>
  <c r="I264" i="2"/>
  <c r="K264" i="2" s="1"/>
  <c r="I263" i="2"/>
  <c r="K263" i="2" s="1"/>
  <c r="I262" i="2"/>
  <c r="K262" i="2" s="1"/>
  <c r="I261" i="2"/>
  <c r="K261" i="2" s="1"/>
  <c r="I260" i="2"/>
  <c r="K260" i="2" s="1"/>
  <c r="I259" i="2"/>
  <c r="K259" i="2" s="1"/>
  <c r="I258" i="2"/>
  <c r="K258" i="2" s="1"/>
  <c r="I255" i="2"/>
  <c r="K255" i="2" s="1"/>
  <c r="I254" i="2"/>
  <c r="K254" i="2" s="1"/>
  <c r="I253" i="2"/>
  <c r="K253" i="2" s="1"/>
  <c r="I252" i="2"/>
  <c r="K252" i="2" s="1"/>
  <c r="I251" i="2"/>
  <c r="K251" i="2" s="1"/>
  <c r="I250" i="2"/>
  <c r="K250" i="2" s="1"/>
  <c r="I249" i="2"/>
  <c r="K249" i="2" s="1"/>
  <c r="I248" i="2"/>
  <c r="K248" i="2" s="1"/>
  <c r="I247" i="2"/>
  <c r="K247" i="2" s="1"/>
  <c r="I246" i="2"/>
  <c r="K246" i="2" s="1"/>
  <c r="I245" i="2"/>
  <c r="K245" i="2" s="1"/>
  <c r="I244" i="2"/>
  <c r="K244" i="2" s="1"/>
  <c r="I243" i="2"/>
  <c r="K243" i="2" s="1"/>
  <c r="K242" i="2"/>
  <c r="D17" i="1" s="1"/>
  <c r="K119" i="2"/>
  <c r="D13" i="1" s="1"/>
  <c r="D4" i="1"/>
  <c r="D5" i="1"/>
  <c r="D6" i="1"/>
  <c r="K386" i="2" l="1"/>
  <c r="D10" i="1" s="1"/>
  <c r="K23" i="2"/>
  <c r="D15" i="1"/>
  <c r="K83" i="2"/>
  <c r="D12" i="1" s="1"/>
  <c r="K201" i="2"/>
  <c r="D14" i="1" s="1"/>
  <c r="K206" i="2"/>
  <c r="D16" i="1" s="1"/>
  <c r="K552" i="2" l="1"/>
  <c r="K2" i="2" s="1"/>
  <c r="D7" i="1" s="1"/>
  <c r="D11" i="1"/>
  <c r="D18" i="1" s="1"/>
</calcChain>
</file>

<file path=xl/sharedStrings.xml><?xml version="1.0" encoding="utf-8"?>
<sst xmlns="http://schemas.openxmlformats.org/spreadsheetml/2006/main" count="2208" uniqueCount="988">
  <si>
    <t>기타(시트,안전벨트등)</t>
  </si>
  <si>
    <t>Hoosier Tire</t>
  </si>
  <si>
    <t>Stabilizer bar</t>
  </si>
  <si>
    <t xml:space="preserve"> ** 원가명세표 예시 참조</t>
  </si>
  <si>
    <t>NW3-S119-03006</t>
  </si>
  <si>
    <t>루나볼트 4s6p 배터리팩</t>
  </si>
  <si>
    <t>TSMP 바나나잭 방수캡</t>
  </si>
  <si>
    <t>4) 볼트, 너트, 밴드 등은 적용된 시스템에 기입 (중점 점검 항목)</t>
  </si>
  <si>
    <t>3) 기존 사용 물품 또는 스폰서 물품의 경우 현재 시세가격으로 기입</t>
  </si>
  <si>
    <t>1) '제품명, 구매-가공처' 항목은 다음 차량 제작 시 참고가 목적</t>
  </si>
  <si>
    <t>2) 구매품, 가공품(부품-재료비, 외주 가공비)에 한해 기입 
    (기타 용접, 커팅, 노동비 등 제외)</t>
  </si>
  <si>
    <t>엔진&amp;구동시스템</t>
  </si>
  <si>
    <t>차량제작비 합계</t>
  </si>
  <si>
    <t>AARK 공동구매</t>
  </si>
  <si>
    <t>Frame Assy</t>
  </si>
  <si>
    <t>Safety Assy</t>
  </si>
  <si>
    <t>Seat Assy</t>
  </si>
  <si>
    <t>OZ Racing</t>
  </si>
  <si>
    <t>Belt Mount</t>
  </si>
  <si>
    <t>Ø25.4 Pipe</t>
  </si>
  <si>
    <t>Ø14 Pipe</t>
  </si>
  <si>
    <t>알루미늄 레이저컷</t>
  </si>
  <si>
    <t>1-794617-2</t>
  </si>
  <si>
    <t>1-794617-4</t>
  </si>
  <si>
    <t>전압 인디케이터</t>
  </si>
  <si>
    <t>23.5140-33</t>
  </si>
  <si>
    <t>LV Battery</t>
  </si>
  <si>
    <t>착한 스위치 압력센서</t>
  </si>
  <si>
    <t xml:space="preserve">WJT-2210S
</t>
  </si>
  <si>
    <t>자이로 센서 모듈</t>
  </si>
  <si>
    <t>아두이노-CAN모듈</t>
  </si>
  <si>
    <t>43104 18.0x7.5-10</t>
  </si>
  <si>
    <t>Wheel &amp; Tire Assy</t>
  </si>
  <si>
    <t>Bender IS155-3204</t>
  </si>
  <si>
    <t>LP-24-C19PE-01-001</t>
  </si>
  <si>
    <t>LP-24-J19SX-03-401</t>
  </si>
  <si>
    <t>CLINKO 8P 커넥터(암)</t>
  </si>
  <si>
    <t>LP-16-J08SX-02-401</t>
  </si>
  <si>
    <t>CLINKO 8P 커넥터(수)</t>
  </si>
  <si>
    <t>LP-16-C08PE-02-001</t>
  </si>
  <si>
    <t>KSAE 대학생 자작자동차대회 비용보고서(원가명세표)</t>
  </si>
  <si>
    <t>All Mounts Intergral to frame</t>
  </si>
  <si>
    <t>Orion Cell Tap Wiring Harness</t>
  </si>
  <si>
    <t>금액</t>
  </si>
  <si>
    <t>구분</t>
  </si>
  <si>
    <t>제품명</t>
  </si>
  <si>
    <t>수량</t>
  </si>
  <si>
    <t>연번</t>
  </si>
  <si>
    <t>합계</t>
  </si>
  <si>
    <t>기타</t>
  </si>
  <si>
    <t>학교명</t>
  </si>
  <si>
    <t>엔트리</t>
  </si>
  <si>
    <t>nut</t>
  </si>
  <si>
    <t>단가</t>
  </si>
  <si>
    <t>Nut</t>
  </si>
  <si>
    <t>Stabilizer Turn Buckle</t>
  </si>
  <si>
    <t>** 원가명세표 시트만 작성하시면 됩니다.</t>
  </si>
  <si>
    <t>Front Stabilizer Assy</t>
  </si>
  <si>
    <t>Stabilizer moment arm</t>
  </si>
  <si>
    <t>5) 케이블타이, 절연 테이프 등은 제외</t>
  </si>
  <si>
    <t>OZ_CL 10x7 Magnesium</t>
  </si>
  <si>
    <t>Orion Main Connector Wiring Harness</t>
  </si>
  <si>
    <t>** 원가명세표는 팀의 현실적인 비용관리가 최우선 입니다.</t>
  </si>
  <si>
    <t>Total</t>
  </si>
  <si>
    <t>Assy</t>
  </si>
  <si>
    <t>외주 가공비</t>
  </si>
  <si>
    <t>기입 항목</t>
  </si>
  <si>
    <t>팀   명</t>
  </si>
  <si>
    <t>제동시스템</t>
  </si>
  <si>
    <t>수정 금지</t>
  </si>
  <si>
    <t>영남대학교</t>
  </si>
  <si>
    <t>전장시스템</t>
  </si>
  <si>
    <t>구매, 가공처</t>
  </si>
  <si>
    <t>현가시스템</t>
  </si>
  <si>
    <t>휠&amp;타이어</t>
  </si>
  <si>
    <t>차량제작비</t>
  </si>
  <si>
    <t>프레임&amp;바디</t>
  </si>
  <si>
    <t>조향시스템</t>
  </si>
  <si>
    <t>부품, 재료비</t>
  </si>
  <si>
    <t>Seat</t>
  </si>
  <si>
    <t>Frame</t>
  </si>
  <si>
    <t>Safety</t>
  </si>
  <si>
    <t>Tire</t>
  </si>
  <si>
    <t>bolt</t>
  </si>
  <si>
    <t>Wheel</t>
  </si>
  <si>
    <t>디바이스마트</t>
  </si>
  <si>
    <t>PCB 서포트</t>
  </si>
  <si>
    <t>스위치올</t>
  </si>
  <si>
    <t>루나 볼트</t>
  </si>
  <si>
    <t>오픈하드웨어</t>
  </si>
  <si>
    <t>MCP2515</t>
  </si>
  <si>
    <t>협신전자</t>
  </si>
  <si>
    <t>MPU9250</t>
  </si>
  <si>
    <t>포토커플러</t>
  </si>
  <si>
    <t>엘레파츠</t>
  </si>
  <si>
    <t>SPT-P1A</t>
  </si>
  <si>
    <t>12V to 5v DC-DC Converter</t>
  </si>
  <si>
    <t>** 원가명세표 시트에서 자동 계산된 결과입니다.</t>
  </si>
  <si>
    <t xml:space="preserve">한국자동차공학회 
Copyright © KSAE </t>
  </si>
  <si>
    <t>조향시스템</t>
    <phoneticPr fontId="22" type="noConversion"/>
  </si>
  <si>
    <t>Steering Wheel Assy</t>
    <phoneticPr fontId="22" type="noConversion"/>
  </si>
  <si>
    <t>Steering Wheel</t>
    <phoneticPr fontId="22" type="noConversion"/>
  </si>
  <si>
    <t>동아레이저</t>
    <phoneticPr fontId="22" type="noConversion"/>
  </si>
  <si>
    <t>Rack&amp;Pinion Assy</t>
    <phoneticPr fontId="22" type="noConversion"/>
  </si>
  <si>
    <t>Rack&amp;Pinion</t>
    <phoneticPr fontId="22" type="noConversion"/>
  </si>
  <si>
    <t>Narrco Rack &amp; Pinion</t>
    <phoneticPr fontId="22" type="noConversion"/>
  </si>
  <si>
    <t>Fsaeparts</t>
    <phoneticPr fontId="22" type="noConversion"/>
  </si>
  <si>
    <t>Rack &amp; Pinion Mount</t>
    <phoneticPr fontId="22" type="noConversion"/>
  </si>
  <si>
    <t>KND</t>
    <phoneticPr fontId="22" type="noConversion"/>
  </si>
  <si>
    <t>한국미스미</t>
    <phoneticPr fontId="22" type="noConversion"/>
  </si>
  <si>
    <t>Ray Steering Column</t>
    <phoneticPr fontId="22" type="noConversion"/>
  </si>
  <si>
    <t>현대 모비스</t>
    <phoneticPr fontId="22" type="noConversion"/>
  </si>
  <si>
    <t>Steering Shaft Assy</t>
    <phoneticPr fontId="22" type="noConversion"/>
  </si>
  <si>
    <t>Steering Shaft</t>
    <phoneticPr fontId="22" type="noConversion"/>
  </si>
  <si>
    <t>Steering Upper Shaft</t>
    <phoneticPr fontId="22" type="noConversion"/>
  </si>
  <si>
    <t>Steering Lower Shaft</t>
    <phoneticPr fontId="22" type="noConversion"/>
  </si>
  <si>
    <t>Steering Shaft Housing</t>
    <phoneticPr fontId="22" type="noConversion"/>
  </si>
  <si>
    <t>Tie Rod Assy</t>
    <phoneticPr fontId="22" type="noConversion"/>
  </si>
  <si>
    <t>Tie Rod</t>
    <phoneticPr fontId="22" type="noConversion"/>
  </si>
  <si>
    <t>Tie Rod Pipe(D14)</t>
    <phoneticPr fontId="22" type="noConversion"/>
  </si>
  <si>
    <t>AARK 공동구매</t>
    <phoneticPr fontId="22" type="noConversion"/>
  </si>
  <si>
    <t>현가시스템</t>
    <phoneticPr fontId="22" type="noConversion"/>
  </si>
  <si>
    <t>Hub Assy</t>
    <phoneticPr fontId="22" type="noConversion"/>
  </si>
  <si>
    <t>Hub</t>
    <phoneticPr fontId="22" type="noConversion"/>
  </si>
  <si>
    <t>Front Hub</t>
    <phoneticPr fontId="22" type="noConversion"/>
  </si>
  <si>
    <t>Rear Hub</t>
    <phoneticPr fontId="22" type="noConversion"/>
  </si>
  <si>
    <t>Bearing Nut M30</t>
    <phoneticPr fontId="22" type="noConversion"/>
  </si>
  <si>
    <t>동일종합상사</t>
    <phoneticPr fontId="22" type="noConversion"/>
  </si>
  <si>
    <t>국화와셔 M30</t>
    <phoneticPr fontId="22" type="noConversion"/>
  </si>
  <si>
    <t>Stabilizer bar</t>
    <phoneticPr fontId="22" type="noConversion"/>
  </si>
  <si>
    <t>Stabilizer moment arm</t>
    <phoneticPr fontId="22" type="noConversion"/>
  </si>
  <si>
    <t>bolt</t>
    <phoneticPr fontId="22" type="noConversion"/>
  </si>
  <si>
    <t>nut</t>
    <phoneticPr fontId="22" type="noConversion"/>
  </si>
  <si>
    <t>POS 8mm</t>
    <phoneticPr fontId="22" type="noConversion"/>
  </si>
  <si>
    <t>Stabilizer Housing Assy</t>
    <phoneticPr fontId="22" type="noConversion"/>
  </si>
  <si>
    <t>Turn Buckle</t>
    <phoneticPr fontId="21" type="noConversion"/>
  </si>
  <si>
    <t>Rear Stabilizer Assy</t>
    <phoneticPr fontId="22" type="noConversion"/>
  </si>
  <si>
    <t>Unit bearing</t>
    <phoneticPr fontId="22" type="noConversion"/>
  </si>
  <si>
    <t>Shock Absorber</t>
    <phoneticPr fontId="22" type="noConversion"/>
  </si>
  <si>
    <t>Spring</t>
    <phoneticPr fontId="22" type="noConversion"/>
  </si>
  <si>
    <t>Ohlins.co</t>
    <phoneticPr fontId="22" type="noConversion"/>
  </si>
  <si>
    <t>Damper</t>
    <phoneticPr fontId="22" type="noConversion"/>
  </si>
  <si>
    <t>Offset</t>
    <phoneticPr fontId="22" type="noConversion"/>
  </si>
  <si>
    <t>Shock Absorber Offset</t>
    <phoneticPr fontId="22" type="noConversion"/>
  </si>
  <si>
    <t>Bell Crank Assy</t>
    <phoneticPr fontId="22" type="noConversion"/>
  </si>
  <si>
    <t>Housing</t>
    <phoneticPr fontId="22" type="noConversion"/>
  </si>
  <si>
    <t>Front Bell Crank Housing</t>
    <phoneticPr fontId="22" type="noConversion"/>
  </si>
  <si>
    <t>Rear Bell Crank Housing</t>
    <phoneticPr fontId="22" type="noConversion"/>
  </si>
  <si>
    <t>bearing</t>
    <phoneticPr fontId="22" type="noConversion"/>
  </si>
  <si>
    <t>Plate</t>
    <phoneticPr fontId="22" type="noConversion"/>
  </si>
  <si>
    <t>Bell Carnk Plate</t>
    <phoneticPr fontId="22" type="noConversion"/>
  </si>
  <si>
    <t>Bell Crank Offset</t>
    <phoneticPr fontId="22" type="noConversion"/>
  </si>
  <si>
    <t>Bolt</t>
    <phoneticPr fontId="22" type="noConversion"/>
  </si>
  <si>
    <t>Nut</t>
    <phoneticPr fontId="22" type="noConversion"/>
  </si>
  <si>
    <t>Rod Assy</t>
    <phoneticPr fontId="22" type="noConversion"/>
  </si>
  <si>
    <t>Pull Rod</t>
    <phoneticPr fontId="22" type="noConversion"/>
  </si>
  <si>
    <t>Rod Pipe</t>
    <phoneticPr fontId="22" type="noConversion"/>
  </si>
  <si>
    <t>Push Rod</t>
    <phoneticPr fontId="22" type="noConversion"/>
  </si>
  <si>
    <t>Upright Assy</t>
    <phoneticPr fontId="22" type="noConversion"/>
  </si>
  <si>
    <t>Upright</t>
    <phoneticPr fontId="22" type="noConversion"/>
  </si>
  <si>
    <t>Front Upright</t>
    <phoneticPr fontId="22" type="noConversion"/>
  </si>
  <si>
    <t>Rear Upright</t>
    <phoneticPr fontId="22" type="noConversion"/>
  </si>
  <si>
    <t>Upright Offset</t>
    <phoneticPr fontId="22" type="noConversion"/>
  </si>
  <si>
    <t>Bearing</t>
    <phoneticPr fontId="22" type="noConversion"/>
  </si>
  <si>
    <t>6914ZZ</t>
    <phoneticPr fontId="22" type="noConversion"/>
  </si>
  <si>
    <t>Arm Assy</t>
    <phoneticPr fontId="22" type="noConversion"/>
  </si>
  <si>
    <t>Pipe</t>
    <phoneticPr fontId="22" type="noConversion"/>
  </si>
  <si>
    <t>Arm Pipe(D14)</t>
    <phoneticPr fontId="22" type="noConversion"/>
  </si>
  <si>
    <t>Snapring</t>
    <phoneticPr fontId="22" type="noConversion"/>
  </si>
  <si>
    <t>Arm Snapring</t>
    <phoneticPr fontId="22" type="noConversion"/>
  </si>
  <si>
    <t>Arm Offset</t>
    <phoneticPr fontId="22" type="noConversion"/>
  </si>
  <si>
    <t>제동시스템</t>
    <phoneticPr fontId="22" type="noConversion"/>
  </si>
  <si>
    <t>Brake Disc</t>
    <phoneticPr fontId="22" type="noConversion"/>
  </si>
  <si>
    <t>Brake Disc 6mm Bolt</t>
    <phoneticPr fontId="22" type="noConversion"/>
  </si>
  <si>
    <t>Brake Disc 6mm Nut</t>
    <phoneticPr fontId="22" type="noConversion"/>
  </si>
  <si>
    <t>Master Cylinder</t>
    <phoneticPr fontId="22" type="noConversion"/>
  </si>
  <si>
    <t>실린더</t>
    <phoneticPr fontId="22" type="noConversion"/>
  </si>
  <si>
    <t>tilton master cylinder</t>
    <phoneticPr fontId="22" type="noConversion"/>
  </si>
  <si>
    <t>Master Cylinder 8mm Nut</t>
    <phoneticPr fontId="22" type="noConversion"/>
  </si>
  <si>
    <t>Balance Bar</t>
    <phoneticPr fontId="22" type="noConversion"/>
  </si>
  <si>
    <t>Caliper</t>
    <phoneticPr fontId="22" type="noConversion"/>
  </si>
  <si>
    <t>Wilwood Caliper 120-12178</t>
    <phoneticPr fontId="22" type="noConversion"/>
  </si>
  <si>
    <t>Wilwood</t>
    <phoneticPr fontId="22" type="noConversion"/>
  </si>
  <si>
    <t>Ferodo</t>
    <phoneticPr fontId="22" type="noConversion"/>
  </si>
  <si>
    <t>FBD250SG</t>
  </si>
  <si>
    <t>Pedal</t>
    <phoneticPr fontId="22" type="noConversion"/>
  </si>
  <si>
    <t>Pedal rail</t>
    <phoneticPr fontId="22" type="noConversion"/>
  </si>
  <si>
    <t>Brake Pedal</t>
    <phoneticPr fontId="22" type="noConversion"/>
  </si>
  <si>
    <t>Pedal Offset</t>
    <phoneticPr fontId="22" type="noConversion"/>
  </si>
  <si>
    <t>Pedal 8mm Bolt</t>
    <phoneticPr fontId="22" type="noConversion"/>
  </si>
  <si>
    <t>Brake Line</t>
    <phoneticPr fontId="22" type="noConversion"/>
  </si>
  <si>
    <t>Brake line</t>
    <phoneticPr fontId="22" type="noConversion"/>
  </si>
  <si>
    <t>Brake Nipple</t>
    <phoneticPr fontId="22" type="noConversion"/>
  </si>
  <si>
    <t>Safety Assy</t>
    <phoneticPr fontId="22" type="noConversion"/>
  </si>
  <si>
    <t>Safety</t>
    <phoneticPr fontId="22" type="noConversion"/>
  </si>
  <si>
    <t>crush zone</t>
    <phoneticPr fontId="22" type="noConversion"/>
  </si>
  <si>
    <t>Floor panel &amp; Back Panel</t>
    <phoneticPr fontId="22" type="noConversion"/>
  </si>
  <si>
    <t>Side panel</t>
    <phoneticPr fontId="22" type="noConversion"/>
  </si>
  <si>
    <t>Headrest</t>
    <phoneticPr fontId="22" type="noConversion"/>
  </si>
  <si>
    <t>Firewall</t>
    <phoneticPr fontId="22" type="noConversion"/>
  </si>
  <si>
    <t>Nomax 0.38t 5m</t>
    <phoneticPr fontId="22" type="noConversion"/>
  </si>
  <si>
    <t>조일산자주식회사</t>
    <phoneticPr fontId="22" type="noConversion"/>
  </si>
  <si>
    <t>44115 16x6.5-10</t>
    <phoneticPr fontId="21" type="noConversion"/>
  </si>
  <si>
    <t>Cowl CFRP</t>
    <phoneticPr fontId="22" type="noConversion"/>
  </si>
  <si>
    <t>카본 클로스 3K 평직 204gsm</t>
    <phoneticPr fontId="22" type="noConversion"/>
  </si>
  <si>
    <t>근영실업(FRP SHOP)</t>
  </si>
  <si>
    <t>Side diffuser</t>
    <phoneticPr fontId="21" type="noConversion"/>
  </si>
  <si>
    <t>Diffuser CFRP</t>
    <phoneticPr fontId="22" type="noConversion"/>
  </si>
  <si>
    <t>에폭시, 기타 자재</t>
    <phoneticPr fontId="21" type="noConversion"/>
  </si>
  <si>
    <t>에폭시</t>
    <phoneticPr fontId="22" type="noConversion"/>
  </si>
  <si>
    <t>에폭시 경화제</t>
    <phoneticPr fontId="22" type="noConversion"/>
  </si>
  <si>
    <t>배터리 박스</t>
    <phoneticPr fontId="22" type="noConversion"/>
  </si>
  <si>
    <t>알루미늄 레이저컷</t>
    <phoneticPr fontId="22" type="noConversion"/>
  </si>
  <si>
    <t>배터리 박스 마운트</t>
    <phoneticPr fontId="22" type="noConversion"/>
  </si>
  <si>
    <t>알루미늄 CNC</t>
    <phoneticPr fontId="22" type="noConversion"/>
  </si>
  <si>
    <t>신하정공</t>
    <phoneticPr fontId="22" type="noConversion"/>
  </si>
  <si>
    <t>냉각 덕트</t>
    <phoneticPr fontId="22" type="noConversion"/>
  </si>
  <si>
    <t>3D 프린트 출력</t>
    <phoneticPr fontId="22" type="noConversion"/>
  </si>
  <si>
    <t>자체제작</t>
    <phoneticPr fontId="22" type="noConversion"/>
  </si>
  <si>
    <t>M8 스프링 와셔</t>
    <phoneticPr fontId="22" type="noConversion"/>
  </si>
  <si>
    <t>TE / EV200 haaana</t>
    <phoneticPr fontId="22" type="noConversion"/>
  </si>
  <si>
    <t>Amphenol HVSL1000022A1H8</t>
    <phoneticPr fontId="22" type="noConversion"/>
  </si>
  <si>
    <t>Amphenol HVSL1000062A150</t>
    <phoneticPr fontId="22" type="noConversion"/>
  </si>
  <si>
    <t>UL1284 AWG1/0 (53.5SQ)</t>
  </si>
  <si>
    <t>현민전기전자</t>
    <phoneticPr fontId="22" type="noConversion"/>
  </si>
  <si>
    <t>Amphenol RL9100-101</t>
    <phoneticPr fontId="22" type="noConversion"/>
  </si>
  <si>
    <t>마우저</t>
    <phoneticPr fontId="22" type="noConversion"/>
  </si>
  <si>
    <t>Amphenol RL01001-50</t>
    <phoneticPr fontId="22" type="noConversion"/>
  </si>
  <si>
    <t>LED 인디케이터 적색 KLISU-08D12-R</t>
    <phoneticPr fontId="21" type="noConversion"/>
  </si>
  <si>
    <t>풍림전자</t>
    <phoneticPr fontId="21" type="noConversion"/>
  </si>
  <si>
    <t>G2RL-2 DC12</t>
    <phoneticPr fontId="21" type="noConversion"/>
  </si>
  <si>
    <t>디바이스마트</t>
    <phoneticPr fontId="21" type="noConversion"/>
  </si>
  <si>
    <t>CNLINKO 24P 커넥터(수)</t>
    <phoneticPr fontId="21" type="noConversion"/>
  </si>
  <si>
    <t>LP-24-C24PE-01-001</t>
    <phoneticPr fontId="21" type="noConversion"/>
  </si>
  <si>
    <t>CNLINKO 24P 커넥터(암)</t>
    <phoneticPr fontId="21" type="noConversion"/>
  </si>
  <si>
    <t>LP-24-J24SX-03-401</t>
    <phoneticPr fontId="21" type="noConversion"/>
  </si>
  <si>
    <t>동아 레이저</t>
    <phoneticPr fontId="21" type="noConversion"/>
  </si>
  <si>
    <t>SZH-VMT009</t>
    <phoneticPr fontId="21" type="noConversion"/>
  </si>
  <si>
    <t>주비상정지 스위치</t>
    <phoneticPr fontId="21" type="noConversion"/>
  </si>
  <si>
    <t>HCS1001</t>
    <phoneticPr fontId="21" type="noConversion"/>
  </si>
  <si>
    <t>제노몰</t>
    <phoneticPr fontId="21" type="noConversion"/>
  </si>
  <si>
    <t>팬 토글 스위치</t>
    <phoneticPr fontId="21" type="noConversion"/>
  </si>
  <si>
    <t>고전압 케이블 그랜드</t>
    <phoneticPr fontId="21" type="noConversion"/>
  </si>
  <si>
    <t>BC-MM30</t>
  </si>
  <si>
    <t>내부 고전압선</t>
    <phoneticPr fontId="21" type="noConversion"/>
  </si>
  <si>
    <t>고전압 커넥터</t>
    <phoneticPr fontId="21" type="noConversion"/>
  </si>
  <si>
    <t>HVSL1000022A1H8</t>
    <phoneticPr fontId="21" type="noConversion"/>
  </si>
  <si>
    <t>마우저</t>
    <phoneticPr fontId="21" type="noConversion"/>
  </si>
  <si>
    <t>Differential</t>
    <phoneticPr fontId="24" type="noConversion"/>
  </si>
  <si>
    <t>LSD</t>
    <phoneticPr fontId="24" type="noConversion"/>
  </si>
  <si>
    <t>DSD-240-700-0006</t>
    <phoneticPr fontId="24" type="noConversion"/>
  </si>
  <si>
    <t>plate</t>
    <phoneticPr fontId="24" type="noConversion"/>
  </si>
  <si>
    <t>왼쪽 하우징</t>
    <phoneticPr fontId="24" type="noConversion"/>
  </si>
  <si>
    <t>Housing(Left)</t>
    <phoneticPr fontId="24" type="noConversion"/>
  </si>
  <si>
    <t>KND system</t>
    <phoneticPr fontId="24" type="noConversion"/>
  </si>
  <si>
    <t>Housing(Right)</t>
    <phoneticPr fontId="24" type="noConversion"/>
  </si>
  <si>
    <t>왼쪽 편심</t>
    <phoneticPr fontId="24" type="noConversion"/>
  </si>
  <si>
    <t>eccentricity(Left)</t>
    <phoneticPr fontId="24" type="noConversion"/>
  </si>
  <si>
    <t>오른쪽 편심</t>
    <phoneticPr fontId="24" type="noConversion"/>
  </si>
  <si>
    <t>eccentricity(Right)</t>
    <phoneticPr fontId="24" type="noConversion"/>
  </si>
  <si>
    <t>LSD 볼트</t>
    <phoneticPr fontId="24" type="noConversion"/>
  </si>
  <si>
    <t>대경볼트</t>
    <phoneticPr fontId="24" type="noConversion"/>
  </si>
  <si>
    <t>LSD 오른쪽 베어링</t>
    <phoneticPr fontId="24" type="noConversion"/>
  </si>
  <si>
    <t>Bearing 6911 zz</t>
    <phoneticPr fontId="24" type="noConversion"/>
  </si>
  <si>
    <t>bearing store</t>
    <phoneticPr fontId="24" type="noConversion"/>
  </si>
  <si>
    <t>LSD 왼쪽 베어링</t>
    <phoneticPr fontId="24" type="noConversion"/>
  </si>
  <si>
    <t>bearing 16010 zz</t>
    <phoneticPr fontId="24" type="noConversion"/>
  </si>
  <si>
    <t>Leocom</t>
    <phoneticPr fontId="24" type="noConversion"/>
  </si>
  <si>
    <t>Motor</t>
    <phoneticPr fontId="24" type="noConversion"/>
  </si>
  <si>
    <t>motor</t>
    <phoneticPr fontId="24" type="noConversion"/>
  </si>
  <si>
    <t>EMRAX</t>
    <phoneticPr fontId="24" type="noConversion"/>
  </si>
  <si>
    <t>motor bolt</t>
    <phoneticPr fontId="24" type="noConversion"/>
  </si>
  <si>
    <t>motor shaft bolt</t>
    <phoneticPr fontId="24" type="noConversion"/>
  </si>
  <si>
    <t>motor shaft bolt 풀림방지용</t>
    <phoneticPr fontId="24" type="noConversion"/>
  </si>
  <si>
    <t>동일종합상사</t>
    <phoneticPr fontId="24" type="noConversion"/>
  </si>
  <si>
    <t>소기어 베어링</t>
    <phoneticPr fontId="24" type="noConversion"/>
  </si>
  <si>
    <t>Bearing 61907 ZZ</t>
    <phoneticPr fontId="24" type="noConversion"/>
  </si>
  <si>
    <t>KOYO</t>
    <phoneticPr fontId="24" type="noConversion"/>
  </si>
  <si>
    <t>소기어축</t>
    <phoneticPr fontId="24" type="noConversion"/>
  </si>
  <si>
    <t>motor shaft</t>
    <phoneticPr fontId="24" type="noConversion"/>
  </si>
  <si>
    <t>UVW 볼트</t>
    <phoneticPr fontId="24" type="noConversion"/>
  </si>
  <si>
    <t>볼트아울렛</t>
    <phoneticPr fontId="24" type="noConversion"/>
  </si>
  <si>
    <t>UVW 너트</t>
    <phoneticPr fontId="24" type="noConversion"/>
  </si>
  <si>
    <t>Drivetrain Assy</t>
    <phoneticPr fontId="24" type="noConversion"/>
  </si>
  <si>
    <t>대기어</t>
    <phoneticPr fontId="24" type="noConversion"/>
  </si>
  <si>
    <t>소기어</t>
    <phoneticPr fontId="24" type="noConversion"/>
  </si>
  <si>
    <t>sprocket 11t</t>
    <phoneticPr fontId="24" type="noConversion"/>
  </si>
  <si>
    <t>체인</t>
    <phoneticPr fontId="24" type="noConversion"/>
  </si>
  <si>
    <t>520 Chain</t>
    <phoneticPr fontId="24" type="noConversion"/>
  </si>
  <si>
    <t>바이크마루</t>
    <phoneticPr fontId="24" type="noConversion"/>
  </si>
  <si>
    <t>CV Cup</t>
    <phoneticPr fontId="24" type="noConversion"/>
  </si>
  <si>
    <t>대우마티즈</t>
    <phoneticPr fontId="24" type="noConversion"/>
  </si>
  <si>
    <t>CV Cup-LSD 체결 볼트</t>
    <phoneticPr fontId="24" type="noConversion"/>
  </si>
  <si>
    <t>좌우축</t>
    <phoneticPr fontId="24" type="noConversion"/>
  </si>
  <si>
    <t>shaft(Right, Left)</t>
    <phoneticPr fontId="24" type="noConversion"/>
  </si>
  <si>
    <t>축 스냅링</t>
    <phoneticPr fontId="24" type="noConversion"/>
  </si>
  <si>
    <t>Tri pod</t>
    <phoneticPr fontId="24" type="noConversion"/>
  </si>
  <si>
    <t>Tri pod(Spider Slide Joint)</t>
    <phoneticPr fontId="24" type="noConversion"/>
  </si>
  <si>
    <t>AMAZONE</t>
    <phoneticPr fontId="24" type="noConversion"/>
  </si>
  <si>
    <t>플랜지</t>
    <phoneticPr fontId="24" type="noConversion"/>
  </si>
  <si>
    <t>Flange</t>
    <phoneticPr fontId="24" type="noConversion"/>
  </si>
  <si>
    <t>베어링 가드</t>
    <phoneticPr fontId="24" type="noConversion"/>
  </si>
  <si>
    <t>bearing guard</t>
    <phoneticPr fontId="24" type="noConversion"/>
  </si>
  <si>
    <t>동아레이저</t>
    <phoneticPr fontId="24" type="noConversion"/>
  </si>
  <si>
    <t>베어링 가드 볼트</t>
    <phoneticPr fontId="24" type="noConversion"/>
  </si>
  <si>
    <t>베어링 가드 너트</t>
    <phoneticPr fontId="24" type="noConversion"/>
  </si>
  <si>
    <t>플렌지 볼트</t>
    <phoneticPr fontId="24" type="noConversion"/>
  </si>
  <si>
    <t>플렌지 너트</t>
    <phoneticPr fontId="24" type="noConversion"/>
  </si>
  <si>
    <t>체인가드 꼬마브라켓 볼트</t>
    <phoneticPr fontId="24" type="noConversion"/>
  </si>
  <si>
    <t>하우징 캡 볼트</t>
    <phoneticPr fontId="24" type="noConversion"/>
  </si>
  <si>
    <t>왼쪽 편심 볼트</t>
    <phoneticPr fontId="24" type="noConversion"/>
  </si>
  <si>
    <t>오른쪽 편심 볼트</t>
    <phoneticPr fontId="24" type="noConversion"/>
  </si>
  <si>
    <t>왼쪽 하우징 볼트</t>
    <phoneticPr fontId="24" type="noConversion"/>
  </si>
  <si>
    <t>오른쪽 하우징 볼트</t>
    <phoneticPr fontId="24" type="noConversion"/>
  </si>
  <si>
    <t>좌우 편심, 하우징 캡, 체인가드 베어링 가드</t>
    <phoneticPr fontId="24" type="noConversion"/>
  </si>
  <si>
    <t>체인가드</t>
    <phoneticPr fontId="24" type="noConversion"/>
  </si>
  <si>
    <t>chain guard</t>
    <phoneticPr fontId="24" type="noConversion"/>
  </si>
  <si>
    <t>모터가드</t>
    <phoneticPr fontId="24" type="noConversion"/>
  </si>
  <si>
    <t>motor guard</t>
    <phoneticPr fontId="24" type="noConversion"/>
  </si>
  <si>
    <t>체인가드 볼트</t>
    <phoneticPr fontId="24" type="noConversion"/>
  </si>
  <si>
    <t>체인가드 너트</t>
    <phoneticPr fontId="24" type="noConversion"/>
  </si>
  <si>
    <t>cooling system</t>
    <phoneticPr fontId="24" type="noConversion"/>
  </si>
  <si>
    <t>라디에이터</t>
    <phoneticPr fontId="24" type="noConversion"/>
  </si>
  <si>
    <t>Radiator</t>
    <phoneticPr fontId="24" type="noConversion"/>
  </si>
  <si>
    <t>Aliexpress</t>
    <phoneticPr fontId="24" type="noConversion"/>
  </si>
  <si>
    <t>캐치탱크</t>
    <phoneticPr fontId="24" type="noConversion"/>
  </si>
  <si>
    <t>catch Tank</t>
    <phoneticPr fontId="24" type="noConversion"/>
  </si>
  <si>
    <t>냉각라인 스틸밴드</t>
    <phoneticPr fontId="24" type="noConversion"/>
  </si>
  <si>
    <t>steel Band</t>
    <phoneticPr fontId="24" type="noConversion"/>
  </si>
  <si>
    <t>펌프</t>
    <phoneticPr fontId="24" type="noConversion"/>
  </si>
  <si>
    <t>water pump</t>
    <phoneticPr fontId="24" type="noConversion"/>
  </si>
  <si>
    <t>Davies Craig</t>
    <phoneticPr fontId="24" type="noConversion"/>
  </si>
  <si>
    <t>컨트롤러, 모터 냉각 호스</t>
    <phoneticPr fontId="24" type="noConversion"/>
  </si>
  <si>
    <t>대영호스</t>
    <phoneticPr fontId="24" type="noConversion"/>
  </si>
  <si>
    <t>모터 냉각 호스</t>
    <phoneticPr fontId="24" type="noConversion"/>
  </si>
  <si>
    <t>캐치캔 호스</t>
    <phoneticPr fontId="24" type="noConversion"/>
  </si>
  <si>
    <t>Digikey</t>
    <phoneticPr fontId="24" type="noConversion"/>
  </si>
  <si>
    <t>EECO381B2-000U-A99</t>
    <phoneticPr fontId="24" type="noConversion"/>
  </si>
  <si>
    <t>냉각 팬 볼트</t>
    <phoneticPr fontId="24" type="noConversion"/>
  </si>
  <si>
    <t>슈라우드 볼트</t>
    <phoneticPr fontId="24" type="noConversion"/>
  </si>
  <si>
    <t>냉각팬 너트</t>
    <phoneticPr fontId="24" type="noConversion"/>
  </si>
  <si>
    <t>슈라우드 너트</t>
    <phoneticPr fontId="24" type="noConversion"/>
  </si>
  <si>
    <t>pedal guard</t>
    <phoneticPr fontId="24" type="noConversion"/>
  </si>
  <si>
    <t>pedal</t>
    <phoneticPr fontId="24" type="noConversion"/>
  </si>
  <si>
    <t>MO 370(가속페달)</t>
    <phoneticPr fontId="24" type="noConversion"/>
  </si>
  <si>
    <t>㈜ COVIS 홈페이지</t>
    <phoneticPr fontId="24" type="noConversion"/>
  </si>
  <si>
    <t>pedal plate</t>
    <phoneticPr fontId="24" type="noConversion"/>
  </si>
  <si>
    <t>pedal rail</t>
    <phoneticPr fontId="24" type="noConversion"/>
  </si>
  <si>
    <t>페달-페달 플레이트 볼트</t>
    <phoneticPr fontId="24" type="noConversion"/>
  </si>
  <si>
    <t>페달레일-프레임 볼트</t>
    <phoneticPr fontId="24" type="noConversion"/>
  </si>
  <si>
    <t>페달 플레이트-페달 레일 볼트</t>
    <phoneticPr fontId="24" type="noConversion"/>
  </si>
  <si>
    <t>페달-페달플레이트 너트</t>
    <phoneticPr fontId="24" type="noConversion"/>
  </si>
  <si>
    <t xml:space="preserve">통신 </t>
    <phoneticPr fontId="24" type="noConversion"/>
  </si>
  <si>
    <t>아두이노-MicroSD카드 소켓 모듈</t>
  </si>
  <si>
    <t>SZH-EKBZ-005</t>
  </si>
  <si>
    <t>DS1307 실시간 클록 RTC 모듈</t>
  </si>
  <si>
    <t>ELB040503</t>
  </si>
  <si>
    <t>USB-A 2.0 to USB-B 2.0 변환 케이블</t>
  </si>
  <si>
    <t>NMC-UB2015</t>
  </si>
  <si>
    <t>Nextion 디스플레이</t>
  </si>
  <si>
    <t>CLINKO 19P 커넥터(암)</t>
  </si>
  <si>
    <t>CLINKO 19P 커넥터(수)</t>
  </si>
  <si>
    <t>소켓 점퍼 케이블 40P (칼라) (M/F) 20cm</t>
  </si>
  <si>
    <t>CH254</t>
  </si>
  <si>
    <t xml:space="preserve"> 소켓 점퍼 케이블 40P (칼라) (M/M) 20cm</t>
  </si>
  <si>
    <t>방수 커넥터 4p 세트</t>
  </si>
  <si>
    <t>SZH-CH219</t>
  </si>
  <si>
    <t>듀얼 USB 2.0 A타입 패널마운트 소켓</t>
  </si>
  <si>
    <t>THS-PMSU22</t>
  </si>
  <si>
    <t>RS232 to TTL 컨버터</t>
    <phoneticPr fontId="24" type="noConversion"/>
  </si>
  <si>
    <t>77 3406 0000 50006-0200</t>
    <phoneticPr fontId="24" type="noConversion"/>
  </si>
  <si>
    <t>USB to RS232 컨버터</t>
    <phoneticPr fontId="24" type="noConversion"/>
  </si>
  <si>
    <t>넷메이트 USB TO 시리얼(RS232) 변환기 KW-525</t>
    <phoneticPr fontId="24" type="noConversion"/>
  </si>
  <si>
    <t>강원전자</t>
    <phoneticPr fontId="24" type="noConversion"/>
  </si>
  <si>
    <t>RS232 커넥터(수)</t>
    <phoneticPr fontId="24" type="noConversion"/>
  </si>
  <si>
    <t>디바이스마트</t>
    <phoneticPr fontId="24" type="noConversion"/>
  </si>
  <si>
    <t>리니어 센서</t>
    <phoneticPr fontId="21" type="noConversion"/>
  </si>
  <si>
    <t>HT-011201 Linear Position Sensor-1/2"</t>
    <phoneticPr fontId="21" type="noConversion"/>
  </si>
  <si>
    <t>haltech</t>
    <phoneticPr fontId="21" type="noConversion"/>
  </si>
  <si>
    <t>Controller</t>
    <phoneticPr fontId="24" type="noConversion"/>
  </si>
  <si>
    <t>컨트롤러</t>
    <phoneticPr fontId="24" type="noConversion"/>
  </si>
  <si>
    <t>BAMOCAR D3 700-400</t>
    <phoneticPr fontId="24" type="noConversion"/>
  </si>
  <si>
    <t>unitek</t>
    <phoneticPr fontId="24" type="noConversion"/>
  </si>
  <si>
    <t>캐이블 그랜드</t>
    <phoneticPr fontId="24" type="noConversion"/>
  </si>
  <si>
    <t>cable grand</t>
    <phoneticPr fontId="24" type="noConversion"/>
  </si>
  <si>
    <t>11번가</t>
    <phoneticPr fontId="24" type="noConversion"/>
  </si>
  <si>
    <t>각링(고무링)</t>
    <phoneticPr fontId="24" type="noConversion"/>
  </si>
  <si>
    <t>쿠팡</t>
    <phoneticPr fontId="24" type="noConversion"/>
  </si>
  <si>
    <t>HV Box Assy</t>
    <phoneticPr fontId="21" type="noConversion"/>
  </si>
  <si>
    <t>동아레이저</t>
    <phoneticPr fontId="21" type="noConversion"/>
  </si>
  <si>
    <t>프레임 마운트</t>
    <phoneticPr fontId="22" type="noConversion"/>
  </si>
  <si>
    <t>스틸 레이저컷</t>
    <phoneticPr fontId="22" type="noConversion"/>
  </si>
  <si>
    <t xml:space="preserve">알루미늄 파이프 </t>
    <phoneticPr fontId="22" type="noConversion"/>
  </si>
  <si>
    <t>알루미늄파이프 7T</t>
    <phoneticPr fontId="22" type="noConversion"/>
  </si>
  <si>
    <t>다바이스마트</t>
    <phoneticPr fontId="22" type="noConversion"/>
  </si>
  <si>
    <t>노맥스 테이프</t>
    <phoneticPr fontId="22" type="noConversion"/>
  </si>
  <si>
    <t>노맥스 인슐레이션 0.1T</t>
    <phoneticPr fontId="22" type="noConversion"/>
  </si>
  <si>
    <t>덕성하이테크</t>
    <phoneticPr fontId="22" type="noConversion"/>
  </si>
  <si>
    <t>캡톤 테이프</t>
    <phoneticPr fontId="22" type="noConversion"/>
  </si>
  <si>
    <t>폴리이미드 단면 8997</t>
    <phoneticPr fontId="22" type="noConversion"/>
  </si>
  <si>
    <t>3M</t>
    <phoneticPr fontId="22" type="noConversion"/>
  </si>
  <si>
    <t xml:space="preserve">후면 냉각팬 </t>
    <phoneticPr fontId="22" type="noConversion"/>
  </si>
  <si>
    <t>DC 92*38mm 12V 팬</t>
    <phoneticPr fontId="22" type="noConversion"/>
  </si>
  <si>
    <t>Mouser</t>
    <phoneticPr fontId="22" type="noConversion"/>
  </si>
  <si>
    <t xml:space="preserve">전면 냉각팬 </t>
    <phoneticPr fontId="22" type="noConversion"/>
  </si>
  <si>
    <t>DC 40*20mm 12V 팬</t>
    <phoneticPr fontId="22" type="noConversion"/>
  </si>
  <si>
    <t>YeHAUS</t>
    <phoneticPr fontId="22" type="noConversion"/>
  </si>
  <si>
    <t>자체제작</t>
    <phoneticPr fontId="21" type="noConversion"/>
  </si>
  <si>
    <t>냉각 팬 커버</t>
    <phoneticPr fontId="22" type="noConversion"/>
  </si>
  <si>
    <t>92mm 팬 커버</t>
    <phoneticPr fontId="22" type="noConversion"/>
  </si>
  <si>
    <t>AliExpress</t>
    <phoneticPr fontId="21" type="noConversion"/>
  </si>
  <si>
    <t>AliExpress</t>
    <phoneticPr fontId="22" type="noConversion"/>
  </si>
  <si>
    <t>LS전선</t>
    <phoneticPr fontId="22" type="noConversion"/>
  </si>
  <si>
    <t>HV Main Connector</t>
    <phoneticPr fontId="22" type="noConversion"/>
  </si>
  <si>
    <t>ATV04_38S</t>
    <phoneticPr fontId="22" type="noConversion"/>
  </si>
  <si>
    <t>BMS</t>
    <phoneticPr fontId="22" type="noConversion"/>
  </si>
  <si>
    <t>Orion BMS2 72s</t>
    <phoneticPr fontId="22" type="noConversion"/>
  </si>
  <si>
    <t>Orion BMS</t>
    <phoneticPr fontId="22" type="noConversion"/>
  </si>
  <si>
    <t>AIR</t>
    <phoneticPr fontId="22" type="noConversion"/>
  </si>
  <si>
    <t>IMD</t>
    <phoneticPr fontId="22" type="noConversion"/>
  </si>
  <si>
    <t>Bender</t>
    <phoneticPr fontId="22" type="noConversion"/>
  </si>
  <si>
    <t xml:space="preserve">Thermistor </t>
    <phoneticPr fontId="22" type="noConversion"/>
  </si>
  <si>
    <t>Thermistor</t>
    <phoneticPr fontId="22" type="noConversion"/>
  </si>
  <si>
    <t xml:space="preserve">Main Fuse </t>
    <phoneticPr fontId="22" type="noConversion"/>
  </si>
  <si>
    <t>jr-66</t>
    <phoneticPr fontId="22" type="noConversion"/>
  </si>
  <si>
    <t>중원퓨즈</t>
    <phoneticPr fontId="22" type="noConversion"/>
  </si>
  <si>
    <t xml:space="preserve">Thermistor Expansion Module </t>
    <phoneticPr fontId="22" type="noConversion"/>
  </si>
  <si>
    <t>Cell Tap Wiring Harness</t>
    <phoneticPr fontId="22" type="noConversion"/>
  </si>
  <si>
    <t>Orion Main Connector Wiring Harness</t>
    <phoneticPr fontId="22" type="noConversion"/>
  </si>
  <si>
    <t>HVD(암)</t>
    <phoneticPr fontId="22" type="noConversion"/>
  </si>
  <si>
    <t>HVD(수)</t>
    <phoneticPr fontId="22" type="noConversion"/>
  </si>
  <si>
    <t>Segment Assy</t>
    <phoneticPr fontId="21" type="noConversion"/>
  </si>
  <si>
    <t>볼트 너트</t>
    <phoneticPr fontId="22" type="noConversion"/>
  </si>
  <si>
    <t>명성볼트</t>
    <phoneticPr fontId="22" type="noConversion"/>
  </si>
  <si>
    <t xml:space="preserve">M6 노드락 </t>
    <phoneticPr fontId="22" type="noConversion"/>
  </si>
  <si>
    <t>Nord Lock</t>
    <phoneticPr fontId="22" type="noConversion"/>
  </si>
  <si>
    <t>베터리 셀</t>
    <phoneticPr fontId="22" type="noConversion"/>
  </si>
  <si>
    <t>Molicel P45b</t>
    <phoneticPr fontId="22" type="noConversion"/>
  </si>
  <si>
    <t>Molicel</t>
    <phoneticPr fontId="22" type="noConversion"/>
  </si>
  <si>
    <t>배터리 셀 홀더</t>
    <phoneticPr fontId="22" type="noConversion"/>
  </si>
  <si>
    <t>PP CNC 가공</t>
    <phoneticPr fontId="22" type="noConversion"/>
  </si>
  <si>
    <t>삼성엔프라</t>
    <phoneticPr fontId="22" type="noConversion"/>
  </si>
  <si>
    <t xml:space="preserve">세그먼트 케이스 3D 프린트 </t>
    <phoneticPr fontId="22" type="noConversion"/>
  </si>
  <si>
    <t>ASA 3D 프린트</t>
    <phoneticPr fontId="22" type="noConversion"/>
  </si>
  <si>
    <t>구리 플레이트</t>
    <phoneticPr fontId="22" type="noConversion"/>
  </si>
  <si>
    <t>구리 레이저컷, 레이저용접</t>
    <phoneticPr fontId="22" type="noConversion"/>
  </si>
  <si>
    <t>울트라테크</t>
    <phoneticPr fontId="22" type="noConversion"/>
  </si>
  <si>
    <t>구리 부스바</t>
    <phoneticPr fontId="22" type="noConversion"/>
  </si>
  <si>
    <t>50*2 절곡, 레이저용접</t>
    <phoneticPr fontId="22" type="noConversion"/>
  </si>
  <si>
    <t>삼진테크</t>
    <phoneticPr fontId="22" type="noConversion"/>
  </si>
  <si>
    <t xml:space="preserve">세그먼트 핀 </t>
    <phoneticPr fontId="22" type="noConversion"/>
  </si>
  <si>
    <t>세그먼트 커넥터</t>
    <phoneticPr fontId="22" type="noConversion"/>
  </si>
  <si>
    <t>칩퓨즈 pcb 커넥터 14P (암)</t>
    <phoneticPr fontId="22" type="noConversion"/>
  </si>
  <si>
    <t>칩퓨즈 pcb 커넥터 14P (수)</t>
    <phoneticPr fontId="22" type="noConversion"/>
  </si>
  <si>
    <t>온도센서 pcb 커넥터 12 (암)</t>
    <phoneticPr fontId="22" type="noConversion"/>
  </si>
  <si>
    <t>온도센서 pcb커넥수 12P (수)</t>
    <phoneticPr fontId="22" type="noConversion"/>
  </si>
  <si>
    <t xml:space="preserve">pcb 고정 나일론 볼트 </t>
    <phoneticPr fontId="22" type="noConversion"/>
  </si>
  <si>
    <t>디바이스마트</t>
    <phoneticPr fontId="22" type="noConversion"/>
  </si>
  <si>
    <t>pcb 고정 인서트</t>
    <phoneticPr fontId="22" type="noConversion"/>
  </si>
  <si>
    <t>EMRAX 228 mv</t>
    <phoneticPr fontId="24" type="noConversion"/>
  </si>
  <si>
    <t>노드락 코리아</t>
    <phoneticPr fontId="24" type="noConversion"/>
  </si>
  <si>
    <t>컨트롤러 프레임 연결 볼트</t>
    <phoneticPr fontId="24" type="noConversion"/>
  </si>
  <si>
    <t>컨트롤러 프레임 연결 너트</t>
    <phoneticPr fontId="24" type="noConversion"/>
  </si>
  <si>
    <t>LSD bolt 풀림방지용</t>
    <phoneticPr fontId="24" type="noConversion"/>
  </si>
  <si>
    <t>sprocket 43t</t>
    <phoneticPr fontId="24" type="noConversion"/>
  </si>
  <si>
    <t>신하정공</t>
    <phoneticPr fontId="24" type="noConversion"/>
  </si>
  <si>
    <t>트라이포드 가드</t>
    <phoneticPr fontId="21" type="noConversion"/>
  </si>
  <si>
    <t>Tri pod guard</t>
    <phoneticPr fontId="24" type="noConversion"/>
  </si>
  <si>
    <t>트라이포드 가드 볼트</t>
    <phoneticPr fontId="21" type="noConversion"/>
  </si>
  <si>
    <t>대경볼트</t>
    <phoneticPr fontId="21" type="noConversion"/>
  </si>
  <si>
    <t>캐치탱크 니플</t>
    <phoneticPr fontId="21" type="noConversion"/>
  </si>
  <si>
    <t xml:space="preserve">오버플로 니플 피팅용 1/16" </t>
    <phoneticPr fontId="21" type="noConversion"/>
  </si>
  <si>
    <t>12mm PU hose</t>
    <phoneticPr fontId="21" type="noConversion"/>
  </si>
  <si>
    <t>대영호스</t>
    <phoneticPr fontId="21" type="noConversion"/>
  </si>
  <si>
    <t>8mm PU hose</t>
    <phoneticPr fontId="24" type="noConversion"/>
  </si>
  <si>
    <t>모터 황동 니플</t>
    <phoneticPr fontId="24" type="noConversion"/>
  </si>
  <si>
    <t>brass nipple 3/8" to 3/4"</t>
    <phoneticPr fontId="24" type="noConversion"/>
  </si>
  <si>
    <t>냉각 호스 연결</t>
    <phoneticPr fontId="21" type="noConversion"/>
  </si>
  <si>
    <t>stainless nipple 19mm</t>
    <phoneticPr fontId="24" type="noConversion"/>
  </si>
  <si>
    <t>알리익스프레스</t>
    <phoneticPr fontId="21" type="noConversion"/>
  </si>
  <si>
    <t>캐치탱크 연결 피팅</t>
    <phoneticPr fontId="24" type="noConversion"/>
  </si>
  <si>
    <t>hose fitting T 8mm to 8mm</t>
    <phoneticPr fontId="24" type="noConversion"/>
  </si>
  <si>
    <t>라디에이터 볼트</t>
    <phoneticPr fontId="21" type="noConversion"/>
  </si>
  <si>
    <t>라디에이터 너트</t>
    <phoneticPr fontId="21" type="noConversion"/>
  </si>
  <si>
    <t>4-794630-4</t>
  </si>
  <si>
    <t>JLPCB</t>
    <phoneticPr fontId="22" type="noConversion"/>
  </si>
  <si>
    <t>4-794630-2</t>
    <phoneticPr fontId="22" type="noConversion"/>
  </si>
  <si>
    <t>세그먼트 PCB</t>
    <phoneticPr fontId="22" type="noConversion"/>
  </si>
  <si>
    <t>LV BOX ASSY</t>
    <phoneticPr fontId="22" type="noConversion"/>
  </si>
  <si>
    <t>LED</t>
    <phoneticPr fontId="21" type="noConversion"/>
  </si>
  <si>
    <t>UL1284 AWG1/0 (53.5SQ)</t>
    <phoneticPr fontId="22" type="noConversion"/>
  </si>
  <si>
    <t>단자대 구리 부스바</t>
    <phoneticPr fontId="22" type="noConversion"/>
  </si>
  <si>
    <t xml:space="preserve">구리 레이저컷 </t>
    <phoneticPr fontId="21" type="noConversion"/>
  </si>
  <si>
    <t>JLPCB</t>
  </si>
  <si>
    <t xml:space="preserve">정전압 레귤레이터 </t>
    <phoneticPr fontId="22" type="noConversion"/>
  </si>
  <si>
    <t>LR645N5-G</t>
    <phoneticPr fontId="22" type="noConversion"/>
  </si>
  <si>
    <t>12V 1W 제너다이오드</t>
    <phoneticPr fontId="22" type="noConversion"/>
  </si>
  <si>
    <t>1N4742A</t>
    <phoneticPr fontId="22" type="noConversion"/>
  </si>
  <si>
    <t xml:space="preserve">전압강하용 저항 </t>
    <phoneticPr fontId="22" type="noConversion"/>
  </si>
  <si>
    <t>커패시터 (LR645N5-G pin1-GND)</t>
    <phoneticPr fontId="22" type="noConversion"/>
  </si>
  <si>
    <t>1uF</t>
    <phoneticPr fontId="22" type="noConversion"/>
  </si>
  <si>
    <t>커패시터 (LR645N5-G pin3-GND)</t>
    <phoneticPr fontId="22" type="noConversion"/>
  </si>
  <si>
    <t>고전압분배용 저항</t>
    <phoneticPr fontId="22" type="noConversion"/>
  </si>
  <si>
    <t>ICBANQ</t>
    <phoneticPr fontId="22" type="noConversion"/>
  </si>
  <si>
    <t>저전압분배용 저항</t>
    <phoneticPr fontId="22" type="noConversion"/>
  </si>
  <si>
    <t>바이패스 커패시터</t>
    <phoneticPr fontId="22" type="noConversion"/>
  </si>
  <si>
    <t>0.1uF</t>
    <phoneticPr fontId="22" type="noConversion"/>
  </si>
  <si>
    <t>포토커플러</t>
    <phoneticPr fontId="22" type="noConversion"/>
  </si>
  <si>
    <t>PC817</t>
    <phoneticPr fontId="22" type="noConversion"/>
  </si>
  <si>
    <t>DC-DC CONVERTER</t>
    <phoneticPr fontId="22" type="noConversion"/>
  </si>
  <si>
    <t>SPAN02A-12</t>
    <phoneticPr fontId="22" type="noConversion"/>
  </si>
  <si>
    <t>디지키</t>
  </si>
  <si>
    <t xml:space="preserve">포토커플러 보호 저항 </t>
    <phoneticPr fontId="22" type="noConversion"/>
  </si>
  <si>
    <t>엘레파츠</t>
    <phoneticPr fontId="22" type="noConversion"/>
  </si>
  <si>
    <t>RC1206FR-0721KL</t>
  </si>
  <si>
    <t xml:space="preserve">TSAL LED 제어 릴레이 </t>
    <phoneticPr fontId="22" type="noConversion"/>
  </si>
  <si>
    <t>cs1-12h</t>
    <phoneticPr fontId="22" type="noConversion"/>
  </si>
  <si>
    <t>릴레이 제어 N-MOSFET</t>
    <phoneticPr fontId="22" type="noConversion"/>
  </si>
  <si>
    <t>IRLL024NTRPBF</t>
    <phoneticPr fontId="22" type="noConversion"/>
  </si>
  <si>
    <t>환류 다이오드</t>
    <phoneticPr fontId="22" type="noConversion"/>
  </si>
  <si>
    <t>1N4007(SMD)-M7</t>
    <phoneticPr fontId="22" type="noConversion"/>
  </si>
  <si>
    <t>PULL DOWN 저항</t>
    <phoneticPr fontId="22" type="noConversion"/>
  </si>
  <si>
    <t xml:space="preserve">전압비교기 </t>
    <phoneticPr fontId="22" type="noConversion"/>
  </si>
  <si>
    <t>LM311P</t>
    <phoneticPr fontId="22" type="noConversion"/>
  </si>
  <si>
    <t>astable multivibrator</t>
    <phoneticPr fontId="22" type="noConversion"/>
  </si>
  <si>
    <t>NE555P</t>
    <phoneticPr fontId="22" type="noConversion"/>
  </si>
  <si>
    <t xml:space="preserve">NE555P 용 저항 </t>
    <phoneticPr fontId="22" type="noConversion"/>
  </si>
  <si>
    <t>30k</t>
    <phoneticPr fontId="22" type="noConversion"/>
  </si>
  <si>
    <t>NE555P 용 저항</t>
    <phoneticPr fontId="22" type="noConversion"/>
  </si>
  <si>
    <t>300k</t>
    <phoneticPr fontId="22" type="noConversion"/>
  </si>
  <si>
    <t>NE555P 용 커패시터</t>
    <phoneticPr fontId="22" type="noConversion"/>
  </si>
  <si>
    <t>권선 저항</t>
    <phoneticPr fontId="22" type="noConversion"/>
  </si>
  <si>
    <t>ARCOL HS50 2K2</t>
    <phoneticPr fontId="22" type="noConversion"/>
  </si>
  <si>
    <t>1N4007(SMD)-M7</t>
  </si>
  <si>
    <t>고전압용 릴레이</t>
    <phoneticPr fontId="22" type="noConversion"/>
  </si>
  <si>
    <t>G2RL-2 DC12</t>
    <phoneticPr fontId="22" type="noConversion"/>
  </si>
  <si>
    <t>RC용 릴레이</t>
    <phoneticPr fontId="22" type="noConversion"/>
  </si>
  <si>
    <t>타이머용 릴레이</t>
    <phoneticPr fontId="22" type="noConversion"/>
  </si>
  <si>
    <t>RC용 저항</t>
    <phoneticPr fontId="22" type="noConversion"/>
  </si>
  <si>
    <t>RC용 커패시터</t>
    <phoneticPr fontId="22" type="noConversion"/>
  </si>
  <si>
    <t>EMK325ABJ107MM-T(100uF)</t>
    <phoneticPr fontId="22" type="noConversion"/>
  </si>
  <si>
    <t>타이머용 비교기</t>
    <phoneticPr fontId="22" type="noConversion"/>
  </si>
  <si>
    <t>BSPD</t>
    <phoneticPr fontId="22" type="noConversion"/>
  </si>
  <si>
    <t>듀얼  비교기</t>
    <phoneticPr fontId="22" type="noConversion"/>
  </si>
  <si>
    <t>LM2903P</t>
    <phoneticPr fontId="22" type="noConversion"/>
  </si>
  <si>
    <t>Fault  릴레이</t>
    <phoneticPr fontId="22" type="noConversion"/>
  </si>
  <si>
    <t>래칭릴레이</t>
    <phoneticPr fontId="22" type="noConversion"/>
  </si>
  <si>
    <t>RT424F12</t>
  </si>
  <si>
    <t xml:space="preserve">방전시간 해결용 릴레이 </t>
    <phoneticPr fontId="22" type="noConversion"/>
  </si>
  <si>
    <t>3pin switch</t>
    <phoneticPr fontId="22" type="noConversion"/>
  </si>
  <si>
    <t>SLW-1276864-4A-D</t>
    <phoneticPr fontId="22" type="noConversion"/>
  </si>
  <si>
    <t>P-MOSFET</t>
    <phoneticPr fontId="22" type="noConversion"/>
  </si>
  <si>
    <t>IRFL9110TRPBF</t>
    <phoneticPr fontId="22" type="noConversion"/>
  </si>
  <si>
    <t>전해 커패시터 10uF</t>
    <phoneticPr fontId="22" type="noConversion"/>
  </si>
  <si>
    <t>[Würth Elektronik] 865080440002</t>
    <phoneticPr fontId="22" type="noConversion"/>
  </si>
  <si>
    <t>세라믹 커패시터 0.1uF</t>
    <phoneticPr fontId="22" type="noConversion"/>
  </si>
  <si>
    <t>1206B104M500CT</t>
  </si>
  <si>
    <t>0.5s 딜레이 RC용 저항</t>
    <phoneticPr fontId="22" type="noConversion"/>
  </si>
  <si>
    <t>0.5s 딜레이 RC용 커패시터</t>
    <phoneticPr fontId="22" type="noConversion"/>
  </si>
  <si>
    <t>10s 딜레이 RC용 저항</t>
    <phoneticPr fontId="22" type="noConversion"/>
  </si>
  <si>
    <t>100k</t>
    <phoneticPr fontId="22" type="noConversion"/>
  </si>
  <si>
    <t>10s 딜레이 RC용 커패시터</t>
    <phoneticPr fontId="22" type="noConversion"/>
  </si>
  <si>
    <t>전압분배용 저항</t>
    <phoneticPr fontId="22" type="noConversion"/>
  </si>
  <si>
    <t>CR1206-JW-302ELF(3k)</t>
    <phoneticPr fontId="22" type="noConversion"/>
  </si>
  <si>
    <t>CRCW12067K00JNTA(7k)</t>
    <phoneticPr fontId="22" type="noConversion"/>
  </si>
  <si>
    <t>RMCF1206JT2K00</t>
  </si>
  <si>
    <t>RT1206DRE0790KL</t>
  </si>
  <si>
    <t>Pressure sensor 저항</t>
    <phoneticPr fontId="22" type="noConversion"/>
  </si>
  <si>
    <t>CRCW1218249RFKTK</t>
    <phoneticPr fontId="22" type="noConversion"/>
  </si>
  <si>
    <t>Hall sensor 저항</t>
    <phoneticPr fontId="22" type="noConversion"/>
  </si>
  <si>
    <t>RTD</t>
    <phoneticPr fontId="22" type="noConversion"/>
  </si>
  <si>
    <t>순방향 다이오드</t>
    <phoneticPr fontId="22" type="noConversion"/>
  </si>
  <si>
    <t xml:space="preserve">RTD 자기유지 릴레이 </t>
    <phoneticPr fontId="22" type="noConversion"/>
  </si>
  <si>
    <t>디지키</t>
    <phoneticPr fontId="22" type="noConversion"/>
  </si>
  <si>
    <t>RTDS 차단 P-MOSFET</t>
    <phoneticPr fontId="22" type="noConversion"/>
  </si>
  <si>
    <t xml:space="preserve">RTDS 타이머 릴레이 </t>
    <phoneticPr fontId="22" type="noConversion"/>
  </si>
  <si>
    <t>EMK325ABJ107MM-T</t>
    <phoneticPr fontId="21" type="noConversion"/>
  </si>
  <si>
    <t>RMCF1206JT15K0</t>
    <phoneticPr fontId="22" type="noConversion"/>
  </si>
  <si>
    <t>RC용 비교기</t>
    <phoneticPr fontId="22" type="noConversion"/>
  </si>
  <si>
    <t xml:space="preserve">RTDS 차단 포토커플러  </t>
    <phoneticPr fontId="22" type="noConversion"/>
  </si>
  <si>
    <t>RMCF1206JT2K00(2kΩ)</t>
    <phoneticPr fontId="22" type="noConversion"/>
  </si>
  <si>
    <t>HVMS 딜레이 용 릴레이</t>
    <phoneticPr fontId="22" type="noConversion"/>
  </si>
  <si>
    <t>APPS</t>
    <phoneticPr fontId="22" type="noConversion"/>
  </si>
  <si>
    <t>APPS 제어용 P-MOSFET</t>
    <phoneticPr fontId="22" type="noConversion"/>
  </si>
  <si>
    <t>APPS 제어용 N-MOSFET</t>
    <phoneticPr fontId="22" type="noConversion"/>
  </si>
  <si>
    <t xml:space="preserve">IRLL024NTRPBF </t>
    <phoneticPr fontId="21" type="noConversion"/>
  </si>
  <si>
    <t>SDC</t>
    <phoneticPr fontId="22" type="noConversion"/>
  </si>
  <si>
    <t xml:space="preserve">차단회로 릴레이 </t>
    <phoneticPr fontId="22" type="noConversion"/>
  </si>
  <si>
    <t>차단회로 용 비교기</t>
    <phoneticPr fontId="22" type="noConversion"/>
  </si>
  <si>
    <t>래칭렐레이 제어 비교기</t>
    <phoneticPr fontId="22" type="noConversion"/>
  </si>
  <si>
    <t>래칭렐레이 제어 N-MOSFET</t>
    <phoneticPr fontId="22" type="noConversion"/>
  </si>
  <si>
    <t>래칭렐레이 제어 P-MOSFET</t>
    <phoneticPr fontId="22" type="noConversion"/>
  </si>
  <si>
    <t>CRCW12062K40FKEAC(2.4kΩ)</t>
    <phoneticPr fontId="22" type="noConversion"/>
  </si>
  <si>
    <t>BSPD 재구동 용 릴레이</t>
    <phoneticPr fontId="22" type="noConversion"/>
  </si>
  <si>
    <t>12V 레귤레이터</t>
    <phoneticPr fontId="22" type="noConversion"/>
  </si>
  <si>
    <t>MIC2920A-12WS-TR</t>
  </si>
  <si>
    <t>전원전압 보상 커패시터</t>
    <phoneticPr fontId="22" type="noConversion"/>
  </si>
  <si>
    <t>25V 1000uF</t>
    <phoneticPr fontId="22" type="noConversion"/>
  </si>
  <si>
    <t>BOTS용 비교기</t>
    <phoneticPr fontId="22" type="noConversion"/>
  </si>
  <si>
    <t>BOTS용 포토커플러</t>
    <phoneticPr fontId="22" type="noConversion"/>
  </si>
  <si>
    <t>pc817</t>
    <phoneticPr fontId="22" type="noConversion"/>
  </si>
  <si>
    <t>5V 레귤레이터</t>
    <phoneticPr fontId="22" type="noConversion"/>
  </si>
  <si>
    <t>LM7805CT/NOPB</t>
  </si>
  <si>
    <t>LM7805용 커패시터</t>
    <phoneticPr fontId="22" type="noConversion"/>
  </si>
  <si>
    <t>CL31A106KAHNNNE</t>
    <phoneticPr fontId="22" type="noConversion"/>
  </si>
  <si>
    <t>LM7805용 저항</t>
    <phoneticPr fontId="22" type="noConversion"/>
  </si>
  <si>
    <t>DISCHARGE</t>
    <phoneticPr fontId="22" type="noConversion"/>
  </si>
  <si>
    <t xml:space="preserve">고전압용 릴레이 </t>
    <phoneticPr fontId="22" type="noConversion"/>
  </si>
  <si>
    <t>G2RL-14-DC12</t>
  </si>
  <si>
    <t>시멘트 저항 10k 10W</t>
    <phoneticPr fontId="22" type="noConversion"/>
  </si>
  <si>
    <t>SQP10AJB-10K</t>
    <phoneticPr fontId="22" type="noConversion"/>
  </si>
  <si>
    <t>1N4004</t>
    <phoneticPr fontId="22" type="noConversion"/>
  </si>
  <si>
    <t>표면실장 퓨즈</t>
    <phoneticPr fontId="22" type="noConversion"/>
  </si>
  <si>
    <t>0679L0500-05</t>
    <phoneticPr fontId="22" type="noConversion"/>
  </si>
  <si>
    <t>BRAKE LIGHT</t>
    <phoneticPr fontId="22" type="noConversion"/>
  </si>
  <si>
    <t>brake led(RED)</t>
    <phoneticPr fontId="22" type="noConversion"/>
  </si>
  <si>
    <t>TJ-S3020UG1W3TLC2R-A5</t>
  </si>
  <si>
    <t>brake led 저항</t>
    <phoneticPr fontId="22" type="noConversion"/>
  </si>
  <si>
    <t>CRCW0603330RFKEAHP</t>
  </si>
  <si>
    <t>TSAL LIGHT</t>
    <phoneticPr fontId="22" type="noConversion"/>
  </si>
  <si>
    <t>tsal led(RED)</t>
    <phoneticPr fontId="22" type="noConversion"/>
  </si>
  <si>
    <t>TJ-S5050UG2W5TLC2R-A5</t>
    <phoneticPr fontId="22" type="noConversion"/>
  </si>
  <si>
    <t>tsal led(GREEN)</t>
    <phoneticPr fontId="22" type="noConversion"/>
  </si>
  <si>
    <t>QBLP679E-IGK</t>
    <phoneticPr fontId="22" type="noConversion"/>
  </si>
  <si>
    <t>tsal led 저항</t>
    <phoneticPr fontId="22" type="noConversion"/>
  </si>
  <si>
    <t>250옴</t>
    <phoneticPr fontId="22" type="noConversion"/>
  </si>
  <si>
    <t>560옴</t>
    <phoneticPr fontId="22" type="noConversion"/>
  </si>
  <si>
    <t>보드 커넥터</t>
    <phoneticPr fontId="22" type="noConversion"/>
  </si>
  <si>
    <t>2pin connector(암)</t>
    <phoneticPr fontId="22" type="noConversion"/>
  </si>
  <si>
    <t>2-1445055-2</t>
    <phoneticPr fontId="22" type="noConversion"/>
  </si>
  <si>
    <t>3pin connector(암)</t>
  </si>
  <si>
    <t>2-1445055-3</t>
    <phoneticPr fontId="22" type="noConversion"/>
  </si>
  <si>
    <t>6pin connector(암)</t>
  </si>
  <si>
    <t>3-794630-6</t>
    <phoneticPr fontId="22" type="noConversion"/>
  </si>
  <si>
    <t>6pin ㄱ자 connector(암)</t>
    <phoneticPr fontId="22" type="noConversion"/>
  </si>
  <si>
    <t>3-794618-6</t>
    <phoneticPr fontId="22" type="noConversion"/>
  </si>
  <si>
    <t>8pin connector(암)</t>
  </si>
  <si>
    <t>3-794630-8</t>
    <phoneticPr fontId="22" type="noConversion"/>
  </si>
  <si>
    <t>10pin connector(암)</t>
  </si>
  <si>
    <t>4-794630-0</t>
    <phoneticPr fontId="22" type="noConversion"/>
  </si>
  <si>
    <t>12pin connector(암)</t>
    <phoneticPr fontId="22" type="noConversion"/>
  </si>
  <si>
    <t>2pin connector(수)</t>
    <phoneticPr fontId="22" type="noConversion"/>
  </si>
  <si>
    <t>1445022-2</t>
    <phoneticPr fontId="22" type="noConversion"/>
  </si>
  <si>
    <t>3pin connector(수)</t>
  </si>
  <si>
    <t>1445022-3</t>
    <phoneticPr fontId="22" type="noConversion"/>
  </si>
  <si>
    <t>6pin connector(수)</t>
  </si>
  <si>
    <t>794617-6</t>
    <phoneticPr fontId="22" type="noConversion"/>
  </si>
  <si>
    <t>8pin connector(수)</t>
  </si>
  <si>
    <t>794617-8</t>
  </si>
  <si>
    <t>10pin connector(수)</t>
  </si>
  <si>
    <t>1-794617-0</t>
    <phoneticPr fontId="22" type="noConversion"/>
  </si>
  <si>
    <t>12pin connector(수)</t>
  </si>
  <si>
    <t>1-794617-2</t>
    <phoneticPr fontId="22" type="noConversion"/>
  </si>
  <si>
    <t>보드 외 기타</t>
    <phoneticPr fontId="22" type="noConversion"/>
  </si>
  <si>
    <t>리셋 버튼</t>
    <phoneticPr fontId="22" type="noConversion"/>
  </si>
  <si>
    <t>SM16BF-11E/B</t>
  </si>
  <si>
    <t>rtd on 버튼</t>
    <phoneticPr fontId="22" type="noConversion"/>
  </si>
  <si>
    <t>락타입 그린 LED 메탈 방수 스위치</t>
    <phoneticPr fontId="22" type="noConversion"/>
  </si>
  <si>
    <t>rtd off 버튼</t>
    <phoneticPr fontId="22" type="noConversion"/>
  </si>
  <si>
    <t>락타입 레드 LED 메탈 방수 스위치</t>
  </si>
  <si>
    <t>파이롯트램프 LED표시램프 시그널램프</t>
  </si>
  <si>
    <t>네이버 스토어</t>
    <phoneticPr fontId="22" type="noConversion"/>
  </si>
  <si>
    <t>precharge led blue</t>
    <phoneticPr fontId="22" type="noConversion"/>
  </si>
  <si>
    <t>홀센서</t>
    <phoneticPr fontId="22" type="noConversion"/>
  </si>
  <si>
    <t>DHAB S/124</t>
    <phoneticPr fontId="22" type="noConversion"/>
  </si>
  <si>
    <t>브레이크 압력센서</t>
    <phoneticPr fontId="22" type="noConversion"/>
  </si>
  <si>
    <t>bots 토글스위치</t>
    <phoneticPr fontId="22" type="noConversion"/>
  </si>
  <si>
    <t>클램프</t>
    <phoneticPr fontId="22" type="noConversion"/>
  </si>
  <si>
    <t>794606-1</t>
    <phoneticPr fontId="22" type="noConversion"/>
  </si>
  <si>
    <t>rtd 스피커</t>
    <phoneticPr fontId="22" type="noConversion"/>
  </si>
  <si>
    <t>AI-4228-TF-LW140-3-R</t>
  </si>
  <si>
    <t>tsmp 바나나잭 red</t>
    <phoneticPr fontId="22" type="noConversion"/>
  </si>
  <si>
    <t>23.3000-22</t>
    <phoneticPr fontId="22" type="noConversion"/>
  </si>
  <si>
    <t>tsmp 바나나잭 black</t>
    <phoneticPr fontId="22" type="noConversion"/>
  </si>
  <si>
    <t>23.3000-21</t>
    <phoneticPr fontId="22" type="noConversion"/>
  </si>
  <si>
    <t>20kΩ 5W resistor</t>
    <phoneticPr fontId="22" type="noConversion"/>
  </si>
  <si>
    <t>960kΩ</t>
    <phoneticPr fontId="22" type="noConversion"/>
  </si>
  <si>
    <t>40kΩ</t>
    <phoneticPr fontId="22" type="noConversion"/>
  </si>
  <si>
    <t>80kΩ</t>
    <phoneticPr fontId="22" type="noConversion"/>
  </si>
  <si>
    <t>20kΩ</t>
    <phoneticPr fontId="22" type="noConversion"/>
  </si>
  <si>
    <t>2.4kΩ</t>
    <phoneticPr fontId="22" type="noConversion"/>
  </si>
  <si>
    <t>칩저항 3216사이즈 J급 10kΩ</t>
    <phoneticPr fontId="22" type="noConversion"/>
  </si>
  <si>
    <t>SPARCO COMP H-2 PD</t>
    <phoneticPr fontId="21" type="noConversion"/>
  </si>
  <si>
    <t>SPARCO</t>
    <phoneticPr fontId="21" type="noConversion"/>
  </si>
  <si>
    <t>Micro SD card 32GB</t>
    <phoneticPr fontId="21" type="noConversion"/>
  </si>
  <si>
    <t>Axxen micro SD card 32GB</t>
    <phoneticPr fontId="21" type="noConversion"/>
  </si>
  <si>
    <t>다이소</t>
    <phoneticPr fontId="21" type="noConversion"/>
  </si>
  <si>
    <t>WAGO전선연결 커넥터</t>
    <phoneticPr fontId="21" type="noConversion"/>
  </si>
  <si>
    <t>221-413</t>
    <phoneticPr fontId="21" type="noConversion"/>
  </si>
  <si>
    <t>NX804P070-011R</t>
    <phoneticPr fontId="21" type="noConversion"/>
  </si>
  <si>
    <t>SMA Plug to SMA Jack, RG316 cable-18cm</t>
    <phoneticPr fontId="21" type="noConversion"/>
  </si>
  <si>
    <t>SZH-RA044</t>
    <phoneticPr fontId="21" type="noConversion"/>
  </si>
  <si>
    <t>Arduino</t>
    <phoneticPr fontId="21" type="noConversion"/>
  </si>
  <si>
    <t>Arduino Mega 2560 (R3)</t>
    <phoneticPr fontId="21" type="noConversion"/>
  </si>
  <si>
    <t>MPU-6050 6축 자이로 가속도 센서 모듈 GY-521</t>
    <phoneticPr fontId="21" type="noConversion"/>
  </si>
  <si>
    <t>SZH-EK007</t>
    <phoneticPr fontId="21" type="noConversion"/>
  </si>
  <si>
    <t>인서트</t>
    <phoneticPr fontId="21" type="noConversion"/>
  </si>
  <si>
    <t>M3*5</t>
    <phoneticPr fontId="21" type="noConversion"/>
  </si>
  <si>
    <t>nRF24L01+ PA/LAN</t>
    <phoneticPr fontId="21" type="noConversion"/>
  </si>
  <si>
    <t>INA219 전류센서모듈</t>
    <phoneticPr fontId="21" type="noConversion"/>
  </si>
  <si>
    <t>SZH-SSBH-075</t>
    <phoneticPr fontId="21" type="noConversion"/>
  </si>
  <si>
    <t>USB 2.0 A타입 패널마운트 소켓</t>
    <phoneticPr fontId="21" type="noConversion"/>
  </si>
  <si>
    <t>THS-PMSU20</t>
    <phoneticPr fontId="21" type="noConversion"/>
  </si>
  <si>
    <t>전압 측정 센서 모듈</t>
    <phoneticPr fontId="21" type="noConversion"/>
  </si>
  <si>
    <t>SZH-SSBH-043</t>
    <phoneticPr fontId="21" type="noConversion"/>
  </si>
  <si>
    <t>센서</t>
    <phoneticPr fontId="21" type="noConversion"/>
  </si>
  <si>
    <t>Front wing</t>
    <phoneticPr fontId="21" type="noConversion"/>
  </si>
  <si>
    <t>Front wing CFRP</t>
    <phoneticPr fontId="22" type="noConversion"/>
  </si>
  <si>
    <t>카본 클로스 3K 평직 204gsm(재단)</t>
    <phoneticPr fontId="22" type="noConversion"/>
  </si>
  <si>
    <t>카본 클로스 스프레드 토 12K 88gsm(재단)</t>
    <phoneticPr fontId="21" type="noConversion"/>
  </si>
  <si>
    <t xml:space="preserve">Front wing Carbon Structure Pipe </t>
    <phoneticPr fontId="21" type="noConversion"/>
  </si>
  <si>
    <t>카본파이프 외경4*내경3*길이1000mm</t>
    <phoneticPr fontId="21" type="noConversion"/>
  </si>
  <si>
    <t>카본메이크</t>
    <phoneticPr fontId="21" type="noConversion"/>
  </si>
  <si>
    <t>카본로드 외경:3mm</t>
    <phoneticPr fontId="21" type="noConversion"/>
  </si>
  <si>
    <t>Front wing Aluminum Structure</t>
    <phoneticPr fontId="21" type="noConversion"/>
  </si>
  <si>
    <t>AL-7075 T6</t>
    <phoneticPr fontId="21" type="noConversion"/>
  </si>
  <si>
    <t>알리, 동아레이저</t>
    <phoneticPr fontId="21" type="noConversion"/>
  </si>
  <si>
    <t>Front wing Swanneck</t>
    <phoneticPr fontId="21" type="noConversion"/>
  </si>
  <si>
    <t>Front wing Wire</t>
    <phoneticPr fontId="21" type="noConversion"/>
  </si>
  <si>
    <t>Steel Wire</t>
    <phoneticPr fontId="21" type="noConversion"/>
  </si>
  <si>
    <t>네이버쇼핑</t>
    <phoneticPr fontId="21" type="noConversion"/>
  </si>
  <si>
    <t>Front wing Wire Braket</t>
    <phoneticPr fontId="21" type="noConversion"/>
  </si>
  <si>
    <t>Steel</t>
    <phoneticPr fontId="21" type="noConversion"/>
  </si>
  <si>
    <t>Front wing Endplate Core</t>
    <phoneticPr fontId="21" type="noConversion"/>
  </si>
  <si>
    <t>PVC폼 에어렉스 C70.75 Plain(재단)</t>
    <phoneticPr fontId="21" type="noConversion"/>
  </si>
  <si>
    <t>Front wing Bolts, Nuts, Washers</t>
    <phoneticPr fontId="21" type="noConversion"/>
  </si>
  <si>
    <t>Front main flap + Endplate Bolts</t>
    <phoneticPr fontId="22" type="noConversion"/>
  </si>
  <si>
    <t>Front main flap + Endplate Washers</t>
    <phoneticPr fontId="21" type="noConversion"/>
  </si>
  <si>
    <t>SUS 평와셔 M3x8x0.5T</t>
    <phoneticPr fontId="21" type="noConversion"/>
  </si>
  <si>
    <t>대경볼트</t>
  </si>
  <si>
    <t>Front 2nd, 3rd flap + Endplate Bolts</t>
    <phoneticPr fontId="21" type="noConversion"/>
  </si>
  <si>
    <t>Front 2nd, 3rd flap + Endplate Washers</t>
    <phoneticPr fontId="21" type="noConversion"/>
  </si>
  <si>
    <t>Front swan neck + Main flap Bolts</t>
    <phoneticPr fontId="21" type="noConversion"/>
  </si>
  <si>
    <t>Front swan neck + Main flap Nuts</t>
    <phoneticPr fontId="21" type="noConversion"/>
  </si>
  <si>
    <t>Front swan neck + Frame Bolts</t>
    <phoneticPr fontId="21" type="noConversion"/>
  </si>
  <si>
    <t>Front swan neck + Frame Nuts</t>
    <phoneticPr fontId="21" type="noConversion"/>
  </si>
  <si>
    <t>Front wire bracket + Endplate Mount Bolts</t>
    <phoneticPr fontId="21" type="noConversion"/>
  </si>
  <si>
    <t>Front wire bracket + Endplate Mount Nuts</t>
    <phoneticPr fontId="21" type="noConversion"/>
  </si>
  <si>
    <t>Rear wing</t>
    <phoneticPr fontId="21" type="noConversion"/>
  </si>
  <si>
    <t>Rear wing CFRP</t>
    <phoneticPr fontId="22" type="noConversion"/>
  </si>
  <si>
    <t xml:space="preserve">Rear wing Carbon Structure Pipe </t>
    <phoneticPr fontId="21" type="noConversion"/>
  </si>
  <si>
    <t>카본파이프 외경5*내경4*길이1000mm</t>
    <phoneticPr fontId="21" type="noConversion"/>
  </si>
  <si>
    <t>카본파이프 외경8*내경4*길이1000mm</t>
    <phoneticPr fontId="21" type="noConversion"/>
  </si>
  <si>
    <t>카본파이프 외경10*내경5*길이1000mm</t>
    <phoneticPr fontId="21" type="noConversion"/>
  </si>
  <si>
    <t xml:space="preserve">Rear wing Rod Pipe </t>
    <phoneticPr fontId="21" type="noConversion"/>
  </si>
  <si>
    <t>카본파이프 외경16*내경12*길이1000mm</t>
    <phoneticPr fontId="21" type="noConversion"/>
  </si>
  <si>
    <t>Rear wing Aluminum Structure</t>
    <phoneticPr fontId="21" type="noConversion"/>
  </si>
  <si>
    <t>Rear wing Swanneck</t>
    <phoneticPr fontId="21" type="noConversion"/>
  </si>
  <si>
    <t>Rear wing Swanneck braket</t>
    <phoneticPr fontId="21" type="noConversion"/>
  </si>
  <si>
    <t>Rear wing Rod Braket</t>
    <phoneticPr fontId="21" type="noConversion"/>
  </si>
  <si>
    <t>Rear wing Endplate Core</t>
    <phoneticPr fontId="21" type="noConversion"/>
  </si>
  <si>
    <t>Rear wing Bolts, Nuts, Washers</t>
    <phoneticPr fontId="21" type="noConversion"/>
  </si>
  <si>
    <t>Rear main flap + Endplate Bolts</t>
    <phoneticPr fontId="22" type="noConversion"/>
  </si>
  <si>
    <t>Rear main flap + Endplate Washers</t>
    <phoneticPr fontId="21" type="noConversion"/>
  </si>
  <si>
    <t>SUS 평와셔 M6x25x1.5T</t>
    <phoneticPr fontId="21" type="noConversion"/>
  </si>
  <si>
    <t>Rear flap + Endplate Bolts</t>
    <phoneticPr fontId="21" type="noConversion"/>
  </si>
  <si>
    <t>Rear flap + Endplate Washers</t>
    <phoneticPr fontId="21" type="noConversion"/>
  </si>
  <si>
    <t>Rear swan neck + Main flap Bolts</t>
    <phoneticPr fontId="21" type="noConversion"/>
  </si>
  <si>
    <t>Rear swan neck + Main flap Nuts</t>
    <phoneticPr fontId="21" type="noConversion"/>
  </si>
  <si>
    <t>Rear swan neck + Frame Bolts</t>
    <phoneticPr fontId="21" type="noConversion"/>
  </si>
  <si>
    <t>Rear swan neck + Frame Nuts</t>
    <phoneticPr fontId="21" type="noConversion"/>
  </si>
  <si>
    <t>Rear Rod bracket + Endplate Mount Bolts</t>
    <phoneticPr fontId="21" type="noConversion"/>
  </si>
  <si>
    <t>Rear Rod bracket + Endplate Mount Nuts</t>
    <phoneticPr fontId="21" type="noConversion"/>
  </si>
  <si>
    <t>Rear Rod + Braket Bolts</t>
    <phoneticPr fontId="21" type="noConversion"/>
  </si>
  <si>
    <t>Rear Rod + Braket Nuts</t>
    <phoneticPr fontId="21" type="noConversion"/>
  </si>
  <si>
    <t xml:space="preserve">Cowl </t>
    <phoneticPr fontId="21" type="noConversion"/>
  </si>
  <si>
    <t>카본 클로스 3K 능직 204gsm</t>
    <phoneticPr fontId="21" type="noConversion"/>
  </si>
  <si>
    <t>Cowl Braket</t>
    <phoneticPr fontId="21" type="noConversion"/>
  </si>
  <si>
    <t>Diffuser GFRP</t>
    <phoneticPr fontId="22" type="noConversion"/>
  </si>
  <si>
    <t>글라스 화이버 GFF2100 얀클로스 194g</t>
    <phoneticPr fontId="21" type="noConversion"/>
  </si>
  <si>
    <t xml:space="preserve">Side diffuser Rod Pipe </t>
    <phoneticPr fontId="21" type="noConversion"/>
  </si>
  <si>
    <t>Side diffuser Rod Braket</t>
    <phoneticPr fontId="21" type="noConversion"/>
  </si>
  <si>
    <t>Side diffuser Bolts, Nuts, Washers</t>
    <phoneticPr fontId="21" type="noConversion"/>
  </si>
  <si>
    <t>Side diffuser + Frame Bolts</t>
    <phoneticPr fontId="22" type="noConversion"/>
  </si>
  <si>
    <t>Side diffuser + Frame Nuts</t>
    <phoneticPr fontId="22" type="noConversion"/>
  </si>
  <si>
    <t>Side diffuser + Frame Washers</t>
    <phoneticPr fontId="22" type="noConversion"/>
  </si>
  <si>
    <t>SUS 대와셔 M4x20x1.2T</t>
    <phoneticPr fontId="21" type="noConversion"/>
  </si>
  <si>
    <t>Side diffuser Rod + Side diffuser Mount Bolts</t>
    <phoneticPr fontId="21" type="noConversion"/>
  </si>
  <si>
    <t>Side diffuser Rod + Side diffuser Mount Nuts</t>
    <phoneticPr fontId="21" type="noConversion"/>
  </si>
  <si>
    <t>Side Rod + Side diffuser Mount Washers</t>
    <phoneticPr fontId="21" type="noConversion"/>
  </si>
  <si>
    <t>Side diffuser Rod + Frame Bolts</t>
    <phoneticPr fontId="21" type="noConversion"/>
  </si>
  <si>
    <t>Side diffuser Rod + Frame Nuts</t>
    <phoneticPr fontId="21" type="noConversion"/>
  </si>
  <si>
    <t>kinetix R246TX</t>
    <phoneticPr fontId="21" type="noConversion"/>
  </si>
  <si>
    <t>kinetix H160</t>
    <phoneticPr fontId="22" type="noConversion"/>
  </si>
  <si>
    <t>구조용 접착제</t>
    <phoneticPr fontId="21" type="noConversion"/>
  </si>
  <si>
    <t>파타이트 7422 490ml</t>
    <phoneticPr fontId="21" type="noConversion"/>
  </si>
  <si>
    <t>마감 테이프</t>
    <phoneticPr fontId="21" type="noConversion"/>
  </si>
  <si>
    <t>3m 덕트 테이프</t>
    <phoneticPr fontId="21" type="noConversion"/>
  </si>
  <si>
    <t xml:space="preserve">Front, Rear wing Carbon Structure Pipe </t>
    <phoneticPr fontId="21" type="noConversion"/>
  </si>
  <si>
    <t>카본파이프 외경6*내경4*길이2000mm</t>
    <phoneticPr fontId="21" type="noConversion"/>
  </si>
  <si>
    <t>카본파이프 외경6*내경3*길이1000mm</t>
    <phoneticPr fontId="21" type="noConversion"/>
  </si>
  <si>
    <t>M6 유너트</t>
    <phoneticPr fontId="22" type="noConversion"/>
  </si>
  <si>
    <t>M5 유너트</t>
    <phoneticPr fontId="22" type="noConversion"/>
  </si>
  <si>
    <t xml:space="preserve">M4 유너트 </t>
    <phoneticPr fontId="22" type="noConversion"/>
  </si>
  <si>
    <t>BSPD PCB</t>
    <phoneticPr fontId="22" type="noConversion"/>
  </si>
  <si>
    <t>AVI</t>
    <phoneticPr fontId="22" type="noConversion"/>
  </si>
  <si>
    <t>TSAL</t>
    <phoneticPr fontId="22" type="noConversion"/>
  </si>
  <si>
    <t>PRECHARGE</t>
    <phoneticPr fontId="22" type="noConversion"/>
  </si>
  <si>
    <t>AVI/TSAL/PRECHARGE PCB</t>
    <phoneticPr fontId="22" type="noConversion"/>
  </si>
  <si>
    <t>SDC PCB</t>
    <phoneticPr fontId="22" type="noConversion"/>
  </si>
  <si>
    <t>DISCHARGE PCB</t>
    <phoneticPr fontId="22" type="noConversion"/>
  </si>
  <si>
    <t>BRAKE LED PCB</t>
    <phoneticPr fontId="22" type="noConversion"/>
  </si>
  <si>
    <t>TSAL LED PCB</t>
    <phoneticPr fontId="22" type="noConversion"/>
  </si>
  <si>
    <t xml:space="preserve">B-G Racing </t>
    <phoneticPr fontId="22" type="noConversion"/>
  </si>
  <si>
    <t>강판제 필로형 유닛 ASPP</t>
  </si>
  <si>
    <t>Front Stabilizer Bar</t>
    <phoneticPr fontId="22" type="noConversion"/>
  </si>
  <si>
    <t>신하정공</t>
    <phoneticPr fontId="21" type="noConversion"/>
  </si>
  <si>
    <t>Front Stabilizer Arm</t>
    <phoneticPr fontId="22" type="noConversion"/>
  </si>
  <si>
    <t>Front Stabilizer Bar Housing</t>
    <phoneticPr fontId="22" type="noConversion"/>
  </si>
  <si>
    <t>6801ZZ Bearing</t>
    <phoneticPr fontId="21" type="noConversion"/>
  </si>
  <si>
    <t>Hyperco TTX25 Spring</t>
    <phoneticPr fontId="21" type="noConversion"/>
  </si>
  <si>
    <t>Kaz Technologeis</t>
    <phoneticPr fontId="22" type="noConversion"/>
  </si>
  <si>
    <t>ohlins TTX25 MKII</t>
    <phoneticPr fontId="22" type="noConversion"/>
  </si>
  <si>
    <t>영동테크</t>
    <phoneticPr fontId="22" type="noConversion"/>
  </si>
  <si>
    <t>7006 Bearing</t>
    <phoneticPr fontId="22" type="noConversion"/>
  </si>
  <si>
    <t>축용 스냅링</t>
    <phoneticPr fontId="22" type="noConversion"/>
  </si>
  <si>
    <t>PB 6mm Bearing Housing</t>
    <phoneticPr fontId="22" type="noConversion"/>
  </si>
  <si>
    <t>Master Cylinder 8mm Bolt</t>
    <phoneticPr fontId="21" type="noConversion"/>
  </si>
  <si>
    <t>Caliper 8mm Bolt</t>
    <phoneticPr fontId="22" type="noConversion"/>
  </si>
  <si>
    <t>Caliper 8mm Nut</t>
    <phoneticPr fontId="22" type="noConversion"/>
  </si>
  <si>
    <t>Steel connector</t>
    <phoneticPr fontId="21" type="noConversion"/>
  </si>
  <si>
    <t>Steel connector</t>
  </si>
  <si>
    <t>C형상 스냅링(축용)</t>
  </si>
  <si>
    <t>미스미</t>
    <phoneticPr fontId="21" type="noConversion"/>
  </si>
  <si>
    <t>Pedal 8mm Nut</t>
    <phoneticPr fontId="21" type="noConversion"/>
  </si>
  <si>
    <t>Brake Bias Adjuster</t>
    <phoneticPr fontId="21" type="noConversion"/>
  </si>
  <si>
    <t>Standard Remote Brake Bias Adjuster</t>
  </si>
  <si>
    <t>coupler</t>
  </si>
  <si>
    <t>bias adjuster 90degree coupler</t>
    <phoneticPr fontId="21" type="noConversion"/>
  </si>
  <si>
    <t>5mm Bolt</t>
    <phoneticPr fontId="21" type="noConversion"/>
  </si>
  <si>
    <t>5mm nut</t>
    <phoneticPr fontId="21" type="noConversion"/>
  </si>
  <si>
    <t>수창종합</t>
    <phoneticPr fontId="21" type="noConversion"/>
  </si>
  <si>
    <t>세광</t>
    <phoneticPr fontId="21" type="noConversion"/>
  </si>
  <si>
    <t>베어링몰</t>
    <phoneticPr fontId="21" type="noConversion"/>
  </si>
  <si>
    <t>Wheel Nut</t>
  </si>
  <si>
    <t>영동테크</t>
  </si>
  <si>
    <t>Brake Reservoir</t>
    <phoneticPr fontId="21" type="noConversion"/>
  </si>
  <si>
    <t xml:space="preserve">reservoir </t>
    <phoneticPr fontId="21" type="noConversion"/>
  </si>
  <si>
    <t xml:space="preserve">Reservoir Bolt </t>
    <phoneticPr fontId="21" type="noConversion"/>
  </si>
  <si>
    <t>호스</t>
    <phoneticPr fontId="21" type="noConversion"/>
  </si>
  <si>
    <t>리저브 탱크 호스</t>
    <phoneticPr fontId="21" type="noConversion"/>
  </si>
  <si>
    <t>Pedal Bearing</t>
    <phoneticPr fontId="21" type="noConversion"/>
  </si>
  <si>
    <t>JLPCB</t>
    <phoneticPr fontId="21" type="noConversion"/>
  </si>
  <si>
    <t>베어링몰</t>
    <phoneticPr fontId="22" type="noConversion"/>
  </si>
  <si>
    <t>AM-M6</t>
    <phoneticPr fontId="22" type="noConversion"/>
  </si>
  <si>
    <t>오로라베어링</t>
    <phoneticPr fontId="22" type="noConversion"/>
  </si>
  <si>
    <t>COM-M6</t>
    <phoneticPr fontId="22" type="noConversion"/>
  </si>
  <si>
    <t>현가시스템</t>
    <phoneticPr fontId="21" type="noConversion"/>
  </si>
  <si>
    <t>컨트롤러 냉각 호스</t>
    <phoneticPr fontId="21" type="noConversion"/>
  </si>
  <si>
    <t>오른쪽 하우징</t>
    <phoneticPr fontId="24" type="noConversion"/>
  </si>
  <si>
    <t>둥근머리 렌치볼트 M3-20mm</t>
    <phoneticPr fontId="22" type="noConversion"/>
  </si>
  <si>
    <t>렌치볼트 M6-20mm</t>
    <phoneticPr fontId="21" type="noConversion"/>
  </si>
  <si>
    <t>둥근머리 렌치볼트 M6-30mm</t>
    <phoneticPr fontId="22" type="noConversion"/>
  </si>
  <si>
    <t>둥근머리 렌치볼트 M4-20mm</t>
    <phoneticPr fontId="22" type="noConversion"/>
  </si>
  <si>
    <t>M8 나일론 록 너트</t>
  </si>
  <si>
    <t>M8 나일론 록 너트</t>
    <phoneticPr fontId="22" type="noConversion"/>
  </si>
  <si>
    <t>렌치볼트 M6-15mm</t>
    <phoneticPr fontId="21" type="noConversion"/>
  </si>
  <si>
    <t>렌치볼트 M8-30mm</t>
    <phoneticPr fontId="21" type="noConversion"/>
  </si>
  <si>
    <t>렌치볼트 M6-25mm</t>
    <phoneticPr fontId="21" type="noConversion"/>
  </si>
  <si>
    <t>렌치볼트 M8-40mm</t>
    <phoneticPr fontId="21" type="noConversion"/>
  </si>
  <si>
    <t>렌치볼트 M6-35mm</t>
    <phoneticPr fontId="21" type="noConversion"/>
  </si>
  <si>
    <t>렌치볼트 M8-35mm</t>
    <phoneticPr fontId="21" type="noConversion"/>
  </si>
  <si>
    <t>렌치볼트 M6-45mm</t>
    <phoneticPr fontId="21" type="noConversion"/>
  </si>
  <si>
    <t>렌치볼트 M8-80mm</t>
    <phoneticPr fontId="21" type="noConversion"/>
  </si>
  <si>
    <t>렌치볼트 M5-20mm</t>
    <phoneticPr fontId="21" type="noConversion"/>
  </si>
  <si>
    <t>Pedal 6mm Bolt</t>
    <phoneticPr fontId="21" type="noConversion"/>
  </si>
  <si>
    <t>둥근머리볼트 M6-30mm</t>
    <phoneticPr fontId="21" type="noConversion"/>
  </si>
  <si>
    <t>Pedal 7mm Nut</t>
    <phoneticPr fontId="21" type="noConversion"/>
  </si>
  <si>
    <t>Pedal Plate</t>
    <phoneticPr fontId="21" type="noConversion"/>
  </si>
  <si>
    <t>페달 레이저컷</t>
    <phoneticPr fontId="21" type="noConversion"/>
  </si>
  <si>
    <t>steel band</t>
    <phoneticPr fontId="21" type="noConversion"/>
  </si>
  <si>
    <t>Master Cylinder inch Nut</t>
    <phoneticPr fontId="22" type="noConversion"/>
  </si>
  <si>
    <t>렌치볼트 M4-55mm</t>
    <phoneticPr fontId="21" type="noConversion"/>
  </si>
  <si>
    <t>한국미스미</t>
    <phoneticPr fontId="21" type="noConversion"/>
  </si>
  <si>
    <t>Cooling Fan Bolt</t>
    <phoneticPr fontId="21" type="noConversion"/>
  </si>
  <si>
    <t>명성볼트</t>
    <phoneticPr fontId="21" type="noConversion"/>
  </si>
  <si>
    <t>Cooling Fan Nut</t>
    <phoneticPr fontId="21" type="noConversion"/>
  </si>
  <si>
    <t>렌치볼트 M5-25mm</t>
    <phoneticPr fontId="21" type="noConversion"/>
  </si>
  <si>
    <t>인네트워크 9PIN/수 납땜용 [IN-9MS]</t>
    <phoneticPr fontId="24" type="noConversion"/>
  </si>
  <si>
    <t>렌치볼트 M3-14mm</t>
    <phoneticPr fontId="21" type="noConversion"/>
  </si>
  <si>
    <t>렌치볼트 M8-15mm</t>
    <phoneticPr fontId="21" type="noConversion"/>
  </si>
  <si>
    <t>M6 나일론 록 너트</t>
    <phoneticPr fontId="22" type="noConversion"/>
  </si>
  <si>
    <t>M5 나일론 록 너트</t>
    <phoneticPr fontId="22" type="noConversion"/>
  </si>
  <si>
    <t>Pedal Foot Rest</t>
    <phoneticPr fontId="21" type="noConversion"/>
  </si>
  <si>
    <t>레이저컷</t>
    <phoneticPr fontId="21" type="noConversion"/>
  </si>
  <si>
    <t>Rack &amp; Pinion M6 나일론 록 너트</t>
    <phoneticPr fontId="22" type="noConversion"/>
  </si>
  <si>
    <t>M6 나일론 록 너트</t>
    <phoneticPr fontId="21" type="noConversion"/>
  </si>
  <si>
    <t>inch 너트</t>
    <phoneticPr fontId="21" type="noConversion"/>
  </si>
  <si>
    <t>M8 나일론 록 너트</t>
    <phoneticPr fontId="21" type="noConversion"/>
  </si>
  <si>
    <t>M5 나일론 록 너트</t>
    <phoneticPr fontId="21" type="noConversion"/>
  </si>
  <si>
    <t>M4 나일론 록 너트</t>
    <phoneticPr fontId="22" type="noConversion"/>
  </si>
  <si>
    <t>나일론볼트 M3-20mm</t>
    <phoneticPr fontId="21" type="noConversion"/>
  </si>
  <si>
    <t>M8 유너트</t>
    <phoneticPr fontId="22" type="noConversion"/>
  </si>
  <si>
    <t>전압 센싱, 온도 센싱 PCB 보드</t>
    <phoneticPr fontId="21" type="noConversion"/>
  </si>
  <si>
    <t>CNLINKO 4P 커넥터(수)</t>
    <phoneticPr fontId="21" type="noConversion"/>
  </si>
  <si>
    <t>CNLINKO 4P 커넥터(암)</t>
    <phoneticPr fontId="21" type="noConversion"/>
  </si>
  <si>
    <t>LP-16-C04PE-01-001</t>
    <phoneticPr fontId="21" type="noConversion"/>
  </si>
  <si>
    <t>LP-16-J04PE-02-001</t>
  </si>
  <si>
    <t>Rack&amp;Pinion cover</t>
    <phoneticPr fontId="22" type="noConversion"/>
  </si>
  <si>
    <t>HV Box Handle</t>
    <phoneticPr fontId="21" type="noConversion"/>
  </si>
  <si>
    <t>원형 알루미늄 튜브 500mm</t>
    <phoneticPr fontId="21" type="noConversion"/>
  </si>
  <si>
    <t>M5 팝너트</t>
    <phoneticPr fontId="21" type="noConversion"/>
  </si>
  <si>
    <t>네이버</t>
    <phoneticPr fontId="21" type="noConversion"/>
  </si>
  <si>
    <t>cover pop nut</t>
    <phoneticPr fontId="21" type="noConversion"/>
  </si>
  <si>
    <t>M6 팝너트</t>
    <phoneticPr fontId="21" type="noConversion"/>
  </si>
  <si>
    <t>Brake Oil</t>
    <phoneticPr fontId="21" type="noConversion"/>
  </si>
  <si>
    <t>현대모비스 DOT4</t>
    <phoneticPr fontId="21" type="noConversion"/>
  </si>
  <si>
    <t>현대모비스</t>
    <phoneticPr fontId="21" type="noConversion"/>
  </si>
  <si>
    <t>M10 박형 유너트</t>
    <phoneticPr fontId="21" type="noConversion"/>
  </si>
  <si>
    <t>HV PCB</t>
    <phoneticPr fontId="21" type="noConversion"/>
  </si>
  <si>
    <t>PCB서포트 플라스틱 M10</t>
    <phoneticPr fontId="21" type="noConversion"/>
  </si>
  <si>
    <t>M3 황동 인서트</t>
    <phoneticPr fontId="21" type="noConversion"/>
  </si>
  <si>
    <t>BSPD PCB</t>
    <phoneticPr fontId="21" type="noConversion"/>
  </si>
  <si>
    <t>SDC PCB</t>
    <phoneticPr fontId="21" type="noConversion"/>
  </si>
  <si>
    <t>DISCHARGE PCB</t>
    <phoneticPr fontId="21" type="noConversion"/>
  </si>
  <si>
    <t>BRAKE LED PCB</t>
    <phoneticPr fontId="21" type="noConversion"/>
  </si>
  <si>
    <t>TSAL LED PCB</t>
    <phoneticPr fontId="21" type="noConversion"/>
  </si>
  <si>
    <t>렌치볼트 M8-20mm</t>
    <phoneticPr fontId="21" type="noConversion"/>
  </si>
  <si>
    <t>렌치볼트 M10-20mm</t>
    <phoneticPr fontId="21" type="noConversion"/>
  </si>
  <si>
    <t>M10 노드락</t>
    <phoneticPr fontId="24" type="noConversion"/>
  </si>
  <si>
    <t>M6 유너트</t>
    <phoneticPr fontId="24" type="noConversion"/>
  </si>
  <si>
    <t>스테인리스 렌치볼트 M6-10mm</t>
    <phoneticPr fontId="21" type="noConversion"/>
  </si>
  <si>
    <t>컨트롤러 고무 부싱</t>
    <phoneticPr fontId="24" type="noConversion"/>
  </si>
  <si>
    <t>M6 노드락</t>
    <phoneticPr fontId="24" type="noConversion"/>
  </si>
  <si>
    <t>shaft snapring</t>
    <phoneticPr fontId="24" type="noConversion"/>
  </si>
  <si>
    <t>Tri pod guard 풀림방지</t>
    <phoneticPr fontId="21" type="noConversion"/>
  </si>
  <si>
    <t>노드락 코리아</t>
    <phoneticPr fontId="21" type="noConversion"/>
  </si>
  <si>
    <t>플랜지 풀림방지용</t>
    <phoneticPr fontId="21" type="noConversion"/>
  </si>
  <si>
    <t>좌우 하우징, 체인가드, 모터가드</t>
    <phoneticPr fontId="24" type="noConversion"/>
  </si>
  <si>
    <t>5/8" hose</t>
    <phoneticPr fontId="24" type="noConversion"/>
  </si>
  <si>
    <t>3/8" hose</t>
    <phoneticPr fontId="21" type="noConversion"/>
  </si>
  <si>
    <t>3/4" hose</t>
    <phoneticPr fontId="24" type="noConversion"/>
  </si>
  <si>
    <t>cooling fan</t>
    <phoneticPr fontId="24" type="noConversion"/>
  </si>
  <si>
    <t>슈라우드 볼트</t>
    <phoneticPr fontId="21" type="noConversion"/>
  </si>
  <si>
    <t>슈라우드 너트</t>
    <phoneticPr fontId="21" type="noConversion"/>
  </si>
  <si>
    <t>라디에이터 브라켓</t>
    <phoneticPr fontId="21" type="noConversion"/>
  </si>
  <si>
    <t>radiator bracket</t>
    <phoneticPr fontId="21" type="noConversion"/>
  </si>
  <si>
    <t>Accel Pedal Assy</t>
    <phoneticPr fontId="24" type="noConversion"/>
  </si>
  <si>
    <t>페달레일-프레임 너트</t>
    <phoneticPr fontId="24" type="noConversion"/>
  </si>
  <si>
    <t>페달 플레이트-페달 레일 너트</t>
    <phoneticPr fontId="24" type="noConversion"/>
  </si>
  <si>
    <t>M6 노드락</t>
    <phoneticPr fontId="21" type="noConversion"/>
  </si>
  <si>
    <t>M6 나일론 록 너트</t>
    <phoneticPr fontId="24" type="noConversion"/>
  </si>
  <si>
    <t>M4 나일론 록 너트</t>
    <phoneticPr fontId="21" type="noConversion"/>
  </si>
  <si>
    <t>M8 나일론 록 너트</t>
    <phoneticPr fontId="24" type="noConversion"/>
  </si>
  <si>
    <t>M10 노드락</t>
    <phoneticPr fontId="21" type="noConversion"/>
  </si>
  <si>
    <t>렌치머리 볼트 M8-30mm</t>
    <phoneticPr fontId="24" type="noConversion"/>
  </si>
  <si>
    <t>오류 led indicator</t>
    <phoneticPr fontId="22" type="noConversion"/>
  </si>
  <si>
    <t>tsal led housing</t>
    <phoneticPr fontId="21" type="noConversion"/>
  </si>
  <si>
    <t>brake led housing</t>
    <phoneticPr fontId="21" type="noConversion"/>
  </si>
  <si>
    <t>랜치볼트 M6-35mm</t>
    <phoneticPr fontId="22" type="noConversion"/>
  </si>
  <si>
    <t>렌치볼트 M6-40mm</t>
    <phoneticPr fontId="21" type="noConversion"/>
  </si>
  <si>
    <t>둥근머리 렌치볼트 M6-15mm</t>
    <phoneticPr fontId="21" type="noConversion"/>
  </si>
  <si>
    <t>둥근머리 렌치볼트 M5-15mm</t>
    <phoneticPr fontId="21" type="noConversion"/>
  </si>
  <si>
    <t>둥근머리 렌치볼트 M4-10mm</t>
    <phoneticPr fontId="21" type="noConversion"/>
  </si>
  <si>
    <t>렌치볼트 M4-15mm</t>
    <phoneticPr fontId="24" type="noConversion"/>
  </si>
  <si>
    <t>렌치볼트 M6-20mm</t>
    <phoneticPr fontId="24" type="noConversion"/>
  </si>
  <si>
    <t>렌치볼트 M8-30mm</t>
    <phoneticPr fontId="24" type="noConversion"/>
  </si>
  <si>
    <t>렌치볼트 M6-15mm</t>
    <phoneticPr fontId="24" type="noConversion"/>
  </si>
  <si>
    <t>렌치볼트 M6-25mm</t>
    <phoneticPr fontId="24" type="noConversion"/>
  </si>
  <si>
    <t>렌치볼트 M6-30mm</t>
    <phoneticPr fontId="24" type="noConversion"/>
  </si>
  <si>
    <t>렌치볼트 M8-35mm</t>
    <phoneticPr fontId="24" type="noConversion"/>
  </si>
  <si>
    <t>렌치볼트 M8-40mm</t>
    <phoneticPr fontId="24" type="noConversion"/>
  </si>
  <si>
    <t>렌치볼트 M4-55mm</t>
    <phoneticPr fontId="24" type="noConversion"/>
  </si>
  <si>
    <t>렌치볼트 M8-25mm</t>
    <phoneticPr fontId="21" type="noConversion"/>
  </si>
  <si>
    <t>렌치볼트 M5-25mm</t>
    <phoneticPr fontId="24" type="noConversion"/>
  </si>
  <si>
    <t>렌치볼트 M8-25mm</t>
    <phoneticPr fontId="24" type="noConversion"/>
  </si>
  <si>
    <t>Nomax 0.38t 2m</t>
    <phoneticPr fontId="22" type="noConversion"/>
  </si>
  <si>
    <t>Nomax insulation</t>
    <phoneticPr fontId="21" type="noConversion"/>
  </si>
  <si>
    <t>전장시스템</t>
    <phoneticPr fontId="21" type="noConversion"/>
  </si>
  <si>
    <t>차폐 고전압선 (주황) 50SQ</t>
    <phoneticPr fontId="22" type="noConversion"/>
  </si>
  <si>
    <t>비차폐 고전압선 (검정) 1/0AWG</t>
    <phoneticPr fontId="22" type="noConversion"/>
  </si>
  <si>
    <t>LS Eexv-sb 50SQ</t>
    <phoneticPr fontId="22" type="noConversion"/>
  </si>
  <si>
    <t>Nomax 0.38t 4m</t>
    <phoneticPr fontId="22" type="noConversion"/>
  </si>
  <si>
    <t>GLVS 전선</t>
    <phoneticPr fontId="21" type="noConversion"/>
  </si>
  <si>
    <t>UL1015</t>
    <phoneticPr fontId="21" type="noConversion"/>
  </si>
  <si>
    <t>HV 전선</t>
    <phoneticPr fontId="21" type="noConversion"/>
  </si>
  <si>
    <t>UL1007</t>
    <phoneticPr fontId="21" type="noConversion"/>
  </si>
  <si>
    <t>UL1007 22AWG</t>
    <phoneticPr fontId="21" type="noConversion"/>
  </si>
  <si>
    <t>UL1015 22AWG</t>
    <phoneticPr fontId="21" type="noConversion"/>
  </si>
  <si>
    <t>B-G Racing-Steering Wheel Quick Release</t>
    <phoneticPr fontId="21" type="noConversion"/>
  </si>
  <si>
    <t>SZH-BPM004</t>
    <phoneticPr fontId="21" type="noConversion"/>
  </si>
  <si>
    <t>ebay</t>
    <phoneticPr fontId="21" type="noConversion"/>
  </si>
  <si>
    <t>summit racing</t>
    <phoneticPr fontId="21" type="noConversion"/>
  </si>
  <si>
    <t>천마DM</t>
    <phoneticPr fontId="21" type="noConversion"/>
  </si>
  <si>
    <t>브레이크 스위치</t>
    <phoneticPr fontId="22" type="noConversion"/>
  </si>
  <si>
    <t>Kant 854</t>
    <phoneticPr fontId="21" type="noConversion"/>
  </si>
  <si>
    <t>착한 스위치 압력센서</t>
    <phoneticPr fontId="22" type="noConversion"/>
  </si>
  <si>
    <t>TS off led green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</si>
</sst>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176" formatCode="_(&quot;$&quot;* #,##0_);_(&quot;$&quot;* \(#,##0\);_(&quot;$&quot;* &quot;-&quot;_);_(@_)"/>
    <numFmt numFmtId="177" formatCode="_(&quot;$&quot;* #,##0.00_);_(&quot;$&quot;* \(#,##0.00\);_(&quot;$&quot;* &quot;-&quot;??_);_(@_)"/>
    <numFmt numFmtId="178" formatCode="_(* #,##0.00_);_(* \(#,##0.00\);_(* &quot;-&quot;??_);_(@_)"/>
    <numFmt numFmtId="179" formatCode="0.000"/>
    <numFmt numFmtId="180" formatCode="&quot;$&quot;#,##0.00"/>
    <numFmt numFmtId="181" formatCode="0_);[Red]\(0\)"/>
  </numFmts>
  <fonts count="48" x14ac:knownFonts="1">
    <font>
      <sz val="11"/>
      <name val="Calibri"/>
      <family val="2"/>
    </font>
    <font>
      <sz val="11"/>
      <name val="Calibri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color indexed="8"/>
      <name val="Arial"/>
      <family val="2"/>
    </font>
    <font>
      <sz val="11"/>
      <color indexed="17"/>
      <name val="Calibri"/>
      <family val="2"/>
    </font>
    <font>
      <sz val="10"/>
      <color indexed="8"/>
      <name val="Verdana"/>
      <family val="2"/>
    </font>
    <font>
      <sz val="11"/>
      <color indexed="10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color indexed="8"/>
      <name val="MS Sans Serif"/>
      <family val="2"/>
    </font>
    <font>
      <u/>
      <sz val="11"/>
      <color indexed="20"/>
      <name val="Calibri"/>
      <family val="2"/>
    </font>
    <font>
      <b/>
      <sz val="11"/>
      <color indexed="8"/>
      <name val="맑은 고딕"/>
      <family val="3"/>
      <charset val="129"/>
    </font>
    <font>
      <u/>
      <sz val="11"/>
      <color indexed="12"/>
      <name val="Calibri"/>
      <family val="2"/>
    </font>
    <font>
      <sz val="10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sz val="7"/>
      <color indexed="8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sz val="8"/>
      <name val="돋움"/>
      <family val="3"/>
      <charset val="129"/>
    </font>
    <font>
      <sz val="8"/>
      <name val="Calibri"/>
      <family val="2"/>
    </font>
    <font>
      <sz val="11"/>
      <name val="맑은 고딕"/>
      <family val="3"/>
      <charset val="129"/>
    </font>
    <font>
      <sz val="8"/>
      <name val="맑은 고딕"/>
      <family val="3"/>
      <charset val="129"/>
    </font>
    <font>
      <sz val="11"/>
      <color rgb="FF006100"/>
      <name val="Calibri"/>
      <family val="2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sz val="11"/>
      <color rgb="FFFA7D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8"/>
      <color rgb="FF3A3C84"/>
      <name val="맑은 고딕"/>
      <family val="3"/>
      <charset val="129"/>
    </font>
    <font>
      <b/>
      <sz val="15"/>
      <color rgb="FF3A3C84"/>
      <name val="맑은 고딕"/>
      <family val="3"/>
      <charset val="129"/>
    </font>
    <font>
      <b/>
      <sz val="13"/>
      <color rgb="FF3A3C84"/>
      <name val="맑은 고딕"/>
      <family val="3"/>
      <charset val="129"/>
    </font>
    <font>
      <b/>
      <sz val="11"/>
      <color rgb="FF3A3C84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sz val="11"/>
      <color theme="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333333"/>
      <name val="맑은 고딕"/>
      <family val="3"/>
      <charset val="129"/>
    </font>
    <font>
      <sz val="11"/>
      <color rgb="FF01010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indexed="63"/>
      <name val="맑은 고딕"/>
      <family val="3"/>
      <charset val="129"/>
    </font>
    <font>
      <sz val="11"/>
      <color rgb="FF212529"/>
      <name val="맑은 고딕"/>
      <family val="3"/>
      <charset val="129"/>
    </font>
    <font>
      <sz val="11"/>
      <color rgb="FF222222"/>
      <name val="맑은 고딕"/>
      <family val="3"/>
      <charset val="129"/>
    </font>
  </fonts>
  <fills count="5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DFE6F7"/>
        <bgColor indexed="64"/>
      </patternFill>
    </fill>
    <fill>
      <patternFill patternType="solid">
        <fgColor rgb="FFFFE7D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7CC"/>
        <bgColor indexed="64"/>
      </patternFill>
    </fill>
    <fill>
      <patternFill patternType="solid">
        <fgColor rgb="FFCDF2E4"/>
        <bgColor indexed="64"/>
      </patternFill>
    </fill>
    <fill>
      <patternFill patternType="solid">
        <fgColor rgb="FFEBDEF1"/>
        <bgColor indexed="64"/>
      </patternFill>
    </fill>
    <fill>
      <patternFill patternType="solid">
        <fgColor rgb="FFC0CDEF"/>
        <bgColor indexed="64"/>
      </patternFill>
    </fill>
    <fill>
      <patternFill patternType="solid">
        <fgColor rgb="FFFFCEB0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EF99"/>
        <bgColor indexed="64"/>
      </patternFill>
    </fill>
    <fill>
      <patternFill patternType="solid">
        <fgColor rgb="FF9BE5C8"/>
        <bgColor indexed="64"/>
      </patternFill>
    </fill>
    <fill>
      <patternFill patternType="solid">
        <fgColor rgb="FFD8BEE4"/>
        <bgColor indexed="64"/>
      </patternFill>
    </fill>
    <fill>
      <patternFill patternType="solid">
        <fgColor rgb="FFA0B4E6"/>
        <bgColor indexed="64"/>
      </patternFill>
    </fill>
    <fill>
      <patternFill patternType="solid">
        <fgColor rgb="FFFFB689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FFE766"/>
        <bgColor indexed="64"/>
      </patternFill>
    </fill>
    <fill>
      <patternFill patternType="solid">
        <fgColor rgb="FF69D8AD"/>
        <bgColor indexed="64"/>
      </patternFill>
    </fill>
    <fill>
      <patternFill patternType="solid">
        <fgColor rgb="FFC49DD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6182D6"/>
        <bgColor indexed="64"/>
      </patternFill>
    </fill>
    <fill>
      <patternFill patternType="solid">
        <fgColor rgb="FFFF843A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289B6E"/>
        <bgColor indexed="64"/>
      </patternFill>
    </fill>
    <fill>
      <patternFill patternType="solid">
        <fgColor rgb="FF9D5CB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22"/>
      </left>
      <right style="thin">
        <color rgb="FFC0C0C0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6182D6"/>
      </top>
      <bottom style="double">
        <color rgb="FF6182D6"/>
      </bottom>
      <diagonal/>
    </border>
    <border>
      <left/>
      <right/>
      <top/>
      <bottom style="thick">
        <color rgb="FF6182D6"/>
      </bottom>
      <diagonal/>
    </border>
    <border>
      <left/>
      <right/>
      <top/>
      <bottom style="thick">
        <color rgb="FFB0C0EA"/>
      </bottom>
      <diagonal/>
    </border>
    <border>
      <left/>
      <right/>
      <top/>
      <bottom style="medium">
        <color rgb="FFA0B4E6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8">
    <xf numFmtId="0" fontId="0" fillId="0" borderId="0"/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178" fontId="4" fillId="0" borderId="0" applyFont="0" applyFill="0" applyBorder="0" applyAlignment="0" applyProtection="0"/>
    <xf numFmtId="177" fontId="1" fillId="3" borderId="17">
      <alignment vertical="center" wrapText="1"/>
    </xf>
    <xf numFmtId="179" fontId="1" fillId="3" borderId="17">
      <alignment vertical="center" wrapText="1"/>
    </xf>
    <xf numFmtId="177" fontId="25" fillId="30" borderId="18">
      <alignment vertical="center" wrapText="1"/>
    </xf>
    <xf numFmtId="177" fontId="4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5" fillId="5" borderId="0" applyNumberFormat="0" applyBorder="0" applyAlignment="0" applyProtection="0"/>
    <xf numFmtId="0" fontId="12" fillId="0" borderId="0" applyNumberFormat="0" applyFill="0" applyBorder="0" applyAlignment="0" applyProtection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4" fillId="0" borderId="0"/>
    <xf numFmtId="180" fontId="1" fillId="0" borderId="17">
      <alignment vertical="center" wrapText="1"/>
    </xf>
    <xf numFmtId="179" fontId="1" fillId="0" borderId="17">
      <alignment vertical="center" wrapText="1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6" fillId="37" borderId="19" applyNumberFormat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1" fillId="4" borderId="20" applyNumberFormat="0" applyFont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8" fillId="40" borderId="21" applyNumberFormat="0" applyAlignment="0" applyProtection="0">
      <alignment vertical="center"/>
    </xf>
    <xf numFmtId="0" fontId="8" fillId="40" borderId="21" applyNumberFormat="0" applyAlignment="0" applyProtection="0"/>
    <xf numFmtId="0" fontId="8" fillId="40" borderId="21" applyNumberFormat="0" applyAlignment="0" applyProtection="0"/>
    <xf numFmtId="0" fontId="8" fillId="40" borderId="21" applyNumberFormat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30" fillId="0" borderId="22" applyNumberFormat="0" applyFill="0" applyAlignment="0" applyProtection="0">
      <alignment vertical="center"/>
    </xf>
    <xf numFmtId="0" fontId="11" fillId="0" borderId="23" applyNumberFormat="0" applyFill="0" applyAlignment="0" applyProtection="0">
      <alignment vertical="center"/>
    </xf>
    <xf numFmtId="0" fontId="31" fillId="2" borderId="19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24" applyNumberFormat="0" applyFill="0" applyAlignment="0" applyProtection="0">
      <alignment vertical="center"/>
    </xf>
    <xf numFmtId="0" fontId="34" fillId="0" borderId="25" applyNumberFormat="0" applyFill="0" applyAlignment="0" applyProtection="0">
      <alignment vertical="center"/>
    </xf>
    <xf numFmtId="0" fontId="35" fillId="0" borderId="26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7" fillId="37" borderId="27" applyNumberFormat="0" applyAlignment="0" applyProtection="0">
      <alignment vertical="center"/>
    </xf>
    <xf numFmtId="176" fontId="1" fillId="0" borderId="0" applyFont="0" applyFill="0" applyBorder="0" applyAlignment="0" applyProtection="0"/>
    <xf numFmtId="177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9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42" fontId="1" fillId="0" borderId="0" applyFont="0" applyFill="0" applyBorder="0" applyAlignment="0" applyProtection="0">
      <alignment vertical="center"/>
    </xf>
    <xf numFmtId="0" fontId="1" fillId="0" borderId="0"/>
  </cellStyleXfs>
  <cellXfs count="157">
    <xf numFmtId="0" fontId="0" fillId="0" borderId="0" xfId="0"/>
    <xf numFmtId="0" fontId="11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42" fontId="11" fillId="0" borderId="1" xfId="0" applyNumberFormat="1" applyFont="1" applyBorder="1" applyAlignment="1">
      <alignment horizontal="center" vertical="center"/>
    </xf>
    <xf numFmtId="42" fontId="11" fillId="7" borderId="1" xfId="0" applyNumberFormat="1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41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42" borderId="1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42" fontId="2" fillId="0" borderId="1" xfId="0" applyNumberFormat="1" applyFont="1" applyBorder="1" applyAlignment="1">
      <alignment horizontal="right" vertical="center"/>
    </xf>
    <xf numFmtId="0" fontId="11" fillId="43" borderId="1" xfId="0" applyFont="1" applyFill="1" applyBorder="1" applyAlignment="1">
      <alignment horizontal="center" vertical="center"/>
    </xf>
    <xf numFmtId="0" fontId="11" fillId="44" borderId="1" xfId="0" applyFont="1" applyFill="1" applyBorder="1" applyAlignment="1">
      <alignment horizontal="center" vertical="center"/>
    </xf>
    <xf numFmtId="0" fontId="11" fillId="45" borderId="1" xfId="0" applyFont="1" applyFill="1" applyBorder="1" applyAlignment="1">
      <alignment horizontal="center" vertical="center"/>
    </xf>
    <xf numFmtId="0" fontId="11" fillId="46" borderId="1" xfId="0" applyFont="1" applyFill="1" applyBorder="1" applyAlignment="1">
      <alignment horizontal="center" vertical="center"/>
    </xf>
    <xf numFmtId="0" fontId="11" fillId="47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48" borderId="1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0" fontId="11" fillId="9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0" fillId="0" borderId="0" xfId="0" applyAlignment="1">
      <alignment vertical="center"/>
    </xf>
    <xf numFmtId="0" fontId="17" fillId="0" borderId="0" xfId="0" applyFont="1" applyAlignment="1">
      <alignment vertical="center"/>
    </xf>
    <xf numFmtId="2" fontId="18" fillId="11" borderId="1" xfId="0" applyNumberFormat="1" applyFont="1" applyFill="1" applyBorder="1" applyAlignment="1">
      <alignment horizontal="center" vertical="center" wrapText="1"/>
    </xf>
    <xf numFmtId="2" fontId="18" fillId="11" borderId="5" xfId="0" applyNumberFormat="1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1" fillId="48" borderId="1" xfId="0" applyFont="1" applyFill="1" applyBorder="1" applyAlignment="1">
      <alignment horizontal="center" vertical="center"/>
    </xf>
    <xf numFmtId="42" fontId="11" fillId="48" borderId="1" xfId="0" applyNumberFormat="1" applyFont="1" applyFill="1" applyBorder="1" applyAlignment="1">
      <alignment horizontal="center" vertical="center"/>
    </xf>
    <xf numFmtId="0" fontId="38" fillId="49" borderId="1" xfId="0" applyFont="1" applyFill="1" applyBorder="1" applyAlignment="1">
      <alignment horizontal="center" vertical="center"/>
    </xf>
    <xf numFmtId="18" fontId="40" fillId="0" borderId="1" xfId="27" applyNumberFormat="1" applyFont="1" applyBorder="1" applyAlignment="1" applyProtection="1">
      <alignment horizontal="center" vertical="center"/>
      <protection locked="0"/>
    </xf>
    <xf numFmtId="42" fontId="40" fillId="0" borderId="1" xfId="0" applyNumberFormat="1" applyFont="1" applyBorder="1" applyAlignment="1" applyProtection="1">
      <alignment horizontal="center" vertical="center"/>
      <protection locked="0"/>
    </xf>
    <xf numFmtId="0" fontId="40" fillId="0" borderId="1" xfId="0" applyFont="1" applyBorder="1" applyAlignment="1">
      <alignment horizontal="center" vertical="center"/>
    </xf>
    <xf numFmtId="0" fontId="40" fillId="0" borderId="1" xfId="27" applyFont="1" applyBorder="1" applyAlignment="1">
      <alignment horizontal="center" vertical="center"/>
    </xf>
    <xf numFmtId="11" fontId="40" fillId="0" borderId="1" xfId="27" applyNumberFormat="1" applyFont="1" applyBorder="1" applyAlignment="1" applyProtection="1">
      <alignment horizontal="center" vertical="center"/>
      <protection locked="0"/>
    </xf>
    <xf numFmtId="11" fontId="40" fillId="0" borderId="1" xfId="0" applyNumberFormat="1" applyFont="1" applyBorder="1" applyAlignment="1" applyProtection="1">
      <alignment horizontal="center" vertical="center"/>
      <protection locked="0"/>
    </xf>
    <xf numFmtId="42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18" fontId="23" fillId="0" borderId="1" xfId="27" applyNumberFormat="1" applyFont="1" applyBorder="1" applyAlignment="1" applyProtection="1">
      <alignment horizontal="center" vertical="center"/>
      <protection locked="0"/>
    </xf>
    <xf numFmtId="42" fontId="23" fillId="0" borderId="1" xfId="0" applyNumberFormat="1" applyFont="1" applyBorder="1" applyAlignment="1" applyProtection="1">
      <alignment horizontal="center" vertical="center"/>
      <protection locked="0"/>
    </xf>
    <xf numFmtId="0" fontId="23" fillId="0" borderId="1" xfId="0" applyFont="1" applyBorder="1" applyAlignment="1">
      <alignment horizontal="center" vertical="center"/>
    </xf>
    <xf numFmtId="0" fontId="23" fillId="0" borderId="1" xfId="27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42" fontId="2" fillId="0" borderId="3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2" fontId="40" fillId="0" borderId="1" xfId="0" applyNumberFormat="1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42" fontId="23" fillId="0" borderId="1" xfId="0" applyNumberFormat="1" applyFont="1" applyBorder="1" applyAlignment="1">
      <alignment horizontal="center" vertical="center"/>
    </xf>
    <xf numFmtId="0" fontId="11" fillId="48" borderId="1" xfId="0" applyFont="1" applyFill="1" applyBorder="1" applyAlignment="1" applyProtection="1">
      <alignment horizontal="center" vertical="center"/>
      <protection locked="0"/>
    </xf>
    <xf numFmtId="18" fontId="11" fillId="48" borderId="1" xfId="0" applyNumberFormat="1" applyFont="1" applyFill="1" applyBorder="1" applyAlignment="1" applyProtection="1">
      <alignment horizontal="center" vertical="center"/>
      <protection locked="0"/>
    </xf>
    <xf numFmtId="0" fontId="38" fillId="49" borderId="1" xfId="0" applyFont="1" applyFill="1" applyBorder="1" applyAlignment="1" applyProtection="1">
      <alignment horizontal="center" vertical="center"/>
      <protection locked="0"/>
    </xf>
    <xf numFmtId="0" fontId="39" fillId="49" borderId="1" xfId="0" applyFont="1" applyFill="1" applyBorder="1" applyAlignment="1">
      <alignment horizontal="center" vertical="center"/>
    </xf>
    <xf numFmtId="42" fontId="38" fillId="49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 applyProtection="1">
      <alignment horizontal="center" vertical="center"/>
      <protection locked="0"/>
    </xf>
    <xf numFmtId="0" fontId="2" fillId="3" borderId="0" xfId="0" applyFont="1" applyFill="1" applyAlignment="1">
      <alignment horizontal="center" vertical="center" wrapText="1"/>
    </xf>
    <xf numFmtId="178" fontId="11" fillId="0" borderId="0" xfId="0" applyNumberFormat="1" applyFont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18" fontId="2" fillId="0" borderId="1" xfId="0" applyNumberFormat="1" applyFont="1" applyBorder="1" applyAlignment="1" applyProtection="1">
      <alignment horizontal="center" vertical="center"/>
      <protection locked="0"/>
    </xf>
    <xf numFmtId="42" fontId="23" fillId="51" borderId="1" xfId="0" applyNumberFormat="1" applyFont="1" applyFill="1" applyBorder="1" applyAlignment="1" applyProtection="1">
      <alignment horizontal="center" vertical="center"/>
      <protection locked="0"/>
    </xf>
    <xf numFmtId="0" fontId="23" fillId="51" borderId="1" xfId="0" applyFont="1" applyFill="1" applyBorder="1" applyAlignment="1">
      <alignment horizontal="center" vertical="center"/>
    </xf>
    <xf numFmtId="42" fontId="2" fillId="48" borderId="1" xfId="0" applyNumberFormat="1" applyFont="1" applyFill="1" applyBorder="1" applyAlignment="1">
      <alignment horizontal="center" vertical="center"/>
    </xf>
    <xf numFmtId="42" fontId="2" fillId="51" borderId="1" xfId="0" applyNumberFormat="1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/>
    </xf>
    <xf numFmtId="42" fontId="2" fillId="51" borderId="1" xfId="0" applyNumberFormat="1" applyFont="1" applyFill="1" applyBorder="1" applyAlignment="1" applyProtection="1">
      <alignment horizontal="center" vertical="center"/>
      <protection locked="0"/>
    </xf>
    <xf numFmtId="42" fontId="11" fillId="48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8" fontId="2" fillId="3" borderId="1" xfId="0" applyNumberFormat="1" applyFont="1" applyFill="1" applyBorder="1" applyAlignment="1" applyProtection="1">
      <alignment horizontal="center" vertical="center"/>
      <protection locked="0"/>
    </xf>
    <xf numFmtId="42" fontId="2" fillId="3" borderId="1" xfId="0" applyNumberFormat="1" applyFont="1" applyFill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18" fontId="40" fillId="51" borderId="1" xfId="0" applyNumberFormat="1" applyFont="1" applyFill="1" applyBorder="1" applyAlignment="1" applyProtection="1">
      <alignment horizontal="center" vertical="center"/>
      <protection locked="0"/>
    </xf>
    <xf numFmtId="18" fontId="2" fillId="51" borderId="1" xfId="0" applyNumberFormat="1" applyFont="1" applyFill="1" applyBorder="1" applyAlignment="1" applyProtection="1">
      <alignment horizontal="center" vertical="center"/>
      <protection locked="0"/>
    </xf>
    <xf numFmtId="42" fontId="2" fillId="3" borderId="1" xfId="0" applyNumberFormat="1" applyFont="1" applyFill="1" applyBorder="1" applyAlignment="1" applyProtection="1">
      <alignment horizontal="center" vertical="center"/>
      <protection locked="0"/>
    </xf>
    <xf numFmtId="0" fontId="2" fillId="48" borderId="1" xfId="0" applyFont="1" applyFill="1" applyBorder="1" applyAlignment="1" applyProtection="1">
      <alignment horizontal="center" vertical="center"/>
      <protection locked="0"/>
    </xf>
    <xf numFmtId="18" fontId="2" fillId="48" borderId="1" xfId="0" applyNumberFormat="1" applyFont="1" applyFill="1" applyBorder="1" applyAlignment="1" applyProtection="1">
      <alignment horizontal="center" vertical="center"/>
      <protection locked="0"/>
    </xf>
    <xf numFmtId="0" fontId="43" fillId="0" borderId="1" xfId="0" applyFont="1" applyBorder="1" applyAlignment="1">
      <alignment horizontal="center" vertical="center"/>
    </xf>
    <xf numFmtId="0" fontId="2" fillId="0" borderId="1" xfId="95" applyFont="1" applyBorder="1" applyAlignment="1">
      <alignment horizontal="center" vertical="center"/>
    </xf>
    <xf numFmtId="18" fontId="2" fillId="0" borderId="1" xfId="95" applyNumberFormat="1" applyFont="1" applyBorder="1" applyAlignment="1" applyProtection="1">
      <alignment horizontal="center" vertical="center"/>
      <protection locked="0"/>
    </xf>
    <xf numFmtId="42" fontId="2" fillId="0" borderId="1" xfId="95" applyNumberFormat="1" applyFont="1" applyBorder="1" applyAlignment="1">
      <alignment horizontal="center" vertical="center"/>
    </xf>
    <xf numFmtId="0" fontId="2" fillId="0" borderId="1" xfId="95" applyFont="1" applyBorder="1" applyAlignment="1" applyProtection="1">
      <alignment horizontal="center" vertical="center"/>
      <protection locked="0"/>
    </xf>
    <xf numFmtId="181" fontId="2" fillId="0" borderId="1" xfId="95" applyNumberFormat="1" applyFont="1" applyBorder="1" applyAlignment="1">
      <alignment horizontal="center" vertical="center"/>
    </xf>
    <xf numFmtId="0" fontId="45" fillId="3" borderId="1" xfId="95" applyFont="1" applyFill="1" applyBorder="1" applyAlignment="1">
      <alignment horizontal="center" vertical="center" wrapText="1"/>
    </xf>
    <xf numFmtId="181" fontId="23" fillId="0" borderId="1" xfId="0" applyNumberFormat="1" applyFont="1" applyBorder="1" applyAlignment="1">
      <alignment horizontal="center" vertical="center"/>
    </xf>
    <xf numFmtId="0" fontId="46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8" fontId="2" fillId="0" borderId="1" xfId="97" applyNumberFormat="1" applyFont="1" applyBorder="1" applyAlignment="1" applyProtection="1">
      <alignment horizontal="center" vertical="center"/>
      <protection locked="0"/>
    </xf>
    <xf numFmtId="0" fontId="11" fillId="9" borderId="0" xfId="0" applyFont="1" applyFill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18" fontId="23" fillId="0" borderId="1" xfId="0" applyNumberFormat="1" applyFont="1" applyBorder="1" applyAlignment="1" applyProtection="1">
      <alignment horizontal="center" vertical="center"/>
      <protection locked="0"/>
    </xf>
    <xf numFmtId="0" fontId="23" fillId="3" borderId="1" xfId="0" applyFont="1" applyFill="1" applyBorder="1" applyAlignment="1">
      <alignment horizontal="center" vertical="center"/>
    </xf>
    <xf numFmtId="0" fontId="2" fillId="0" borderId="1" xfId="97" applyFont="1" applyBorder="1" applyAlignment="1">
      <alignment horizontal="center" vertical="center"/>
    </xf>
    <xf numFmtId="42" fontId="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23" fillId="0" borderId="1" xfId="0" applyFont="1" applyBorder="1" applyAlignment="1">
      <alignment horizontal="center"/>
    </xf>
    <xf numFmtId="42" fontId="23" fillId="0" borderId="1" xfId="0" applyNumberFormat="1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/>
    </xf>
    <xf numFmtId="0" fontId="47" fillId="0" borderId="1" xfId="97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2" fillId="0" borderId="1" xfId="96" applyNumberFormat="1" applyFont="1" applyFill="1" applyBorder="1" applyAlignment="1">
      <alignment horizontal="center" vertical="center"/>
    </xf>
    <xf numFmtId="11" fontId="2" fillId="0" borderId="1" xfId="0" applyNumberFormat="1" applyFont="1" applyBorder="1" applyAlignment="1" applyProtection="1">
      <alignment horizontal="center" vertical="center"/>
      <protection locked="0"/>
    </xf>
    <xf numFmtId="11" fontId="41" fillId="0" borderId="1" xfId="0" applyNumberFormat="1" applyFont="1" applyBorder="1" applyAlignment="1" applyProtection="1">
      <alignment horizontal="center" vertical="center"/>
      <protection locked="0"/>
    </xf>
    <xf numFmtId="178" fontId="11" fillId="0" borderId="1" xfId="0" applyNumberFormat="1" applyFont="1" applyBorder="1" applyAlignment="1">
      <alignment horizontal="center" vertical="center"/>
    </xf>
    <xf numFmtId="0" fontId="40" fillId="0" borderId="1" xfId="0" applyFont="1" applyBorder="1" applyAlignment="1" applyProtection="1">
      <alignment horizontal="center" vertical="center"/>
      <protection locked="0"/>
    </xf>
    <xf numFmtId="42" fontId="2" fillId="0" borderId="1" xfId="96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1" fillId="0" borderId="0" xfId="0" applyFont="1" applyAlignment="1">
      <alignment horizontal="center"/>
    </xf>
    <xf numFmtId="0" fontId="40" fillId="0" borderId="14" xfId="27" applyFont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42" fontId="2" fillId="0" borderId="1" xfId="96" applyFont="1" applyBorder="1" applyAlignment="1" applyProtection="1">
      <alignment horizontal="center" vertical="center"/>
      <protection locked="0"/>
    </xf>
    <xf numFmtId="0" fontId="19" fillId="50" borderId="0" xfId="0" applyFont="1" applyFill="1" applyAlignment="1">
      <alignment horizontal="center" vertical="center"/>
    </xf>
    <xf numFmtId="0" fontId="20" fillId="0" borderId="0" xfId="0" applyFont="1" applyAlignment="1">
      <alignment horizontal="left"/>
    </xf>
    <xf numFmtId="0" fontId="13" fillId="6" borderId="0" xfId="0" applyFont="1" applyFill="1" applyAlignment="1">
      <alignment horizontal="left"/>
    </xf>
    <xf numFmtId="0" fontId="13" fillId="6" borderId="0" xfId="0" applyFont="1" applyFill="1" applyAlignment="1">
      <alignment horizontal="left" vertical="center" wrapText="1"/>
    </xf>
    <xf numFmtId="0" fontId="14" fillId="6" borderId="0" xfId="0" applyFont="1" applyFill="1" applyAlignment="1">
      <alignment horizontal="left"/>
    </xf>
    <xf numFmtId="0" fontId="11" fillId="12" borderId="1" xfId="0" applyFont="1" applyFill="1" applyBorder="1" applyAlignment="1">
      <alignment horizontal="center" vertical="center"/>
    </xf>
    <xf numFmtId="2" fontId="11" fillId="12" borderId="1" xfId="0" applyNumberFormat="1" applyFont="1" applyFill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/>
    </xf>
    <xf numFmtId="18" fontId="11" fillId="0" borderId="1" xfId="0" applyNumberFormat="1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8" fontId="44" fillId="0" borderId="1" xfId="0" applyNumberFormat="1" applyFont="1" applyBorder="1" applyAlignment="1" applyProtection="1">
      <alignment horizontal="center" vertical="center"/>
      <protection locked="0"/>
    </xf>
    <xf numFmtId="0" fontId="11" fillId="0" borderId="15" xfId="0" applyFont="1" applyBorder="1" applyAlignment="1">
      <alignment horizontal="center" vertical="center"/>
    </xf>
    <xf numFmtId="0" fontId="40" fillId="0" borderId="14" xfId="27" applyFont="1" applyBorder="1" applyAlignment="1">
      <alignment horizontal="center" vertical="center"/>
    </xf>
    <xf numFmtId="0" fontId="40" fillId="0" borderId="15" xfId="27" applyFont="1" applyBorder="1" applyAlignment="1">
      <alignment horizontal="center" vertical="center"/>
    </xf>
    <xf numFmtId="0" fontId="40" fillId="0" borderId="16" xfId="27" applyFont="1" applyBorder="1" applyAlignment="1">
      <alignment horizontal="center" vertical="center"/>
    </xf>
    <xf numFmtId="0" fontId="44" fillId="0" borderId="14" xfId="0" applyFont="1" applyBorder="1" applyAlignment="1">
      <alignment horizontal="center" vertical="center" wrapText="1"/>
    </xf>
    <xf numFmtId="0" fontId="44" fillId="0" borderId="15" xfId="0" applyFont="1" applyBorder="1" applyAlignment="1">
      <alignment horizontal="center" vertical="center" wrapText="1"/>
    </xf>
    <xf numFmtId="0" fontId="44" fillId="0" borderId="16" xfId="0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/>
    </xf>
    <xf numFmtId="0" fontId="44" fillId="0" borderId="15" xfId="0" applyFont="1" applyBorder="1" applyAlignment="1">
      <alignment horizontal="center" vertical="center"/>
    </xf>
    <xf numFmtId="0" fontId="44" fillId="0" borderId="16" xfId="0" applyFont="1" applyBorder="1" applyAlignment="1">
      <alignment horizontal="center" vertical="center"/>
    </xf>
    <xf numFmtId="18" fontId="44" fillId="0" borderId="14" xfId="0" applyNumberFormat="1" applyFont="1" applyBorder="1" applyAlignment="1" applyProtection="1">
      <alignment horizontal="center" vertical="center"/>
      <protection locked="0"/>
    </xf>
    <xf numFmtId="18" fontId="44" fillId="0" borderId="15" xfId="0" applyNumberFormat="1" applyFont="1" applyBorder="1" applyAlignment="1" applyProtection="1">
      <alignment horizontal="center" vertical="center"/>
      <protection locked="0"/>
    </xf>
    <xf numFmtId="18" fontId="44" fillId="0" borderId="16" xfId="0" applyNumberFormat="1" applyFont="1" applyBorder="1" applyAlignment="1" applyProtection="1">
      <alignment horizontal="center" vertical="center"/>
      <protection locked="0"/>
    </xf>
  </cellXfs>
  <cellStyles count="98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Comma 2" xfId="19" xr:uid="{52425E4B-F617-454B-A2ED-8C5E0F2ED061}"/>
    <cellStyle name="Cost Table Plain" xfId="20" xr:uid="{E2DEB88B-776B-4802-ABC7-1554139B06FD}"/>
    <cellStyle name="Cost Table Plain 2" xfId="21" xr:uid="{B3DA73C2-B47A-4382-AA42-75A8564146C8}"/>
    <cellStyle name="Cost_Green" xfId="22" xr:uid="{91060919-027E-4346-BEDD-47EC51EF5079}"/>
    <cellStyle name="Currency 2" xfId="23" xr:uid="{396CC2E6-A565-4728-B812-12CCD879B5D1}"/>
    <cellStyle name="Followed Hyperlink" xfId="24" xr:uid="{32817169-031E-449C-9287-7FBEDEA1598F}"/>
    <cellStyle name="Good 2" xfId="25" xr:uid="{39D1A30D-1E82-42C2-8C24-492B5C82374E}"/>
    <cellStyle name="Hyperlink" xfId="26" xr:uid="{B1F0CBE9-A0B0-4728-8769-815C089F51E2}"/>
    <cellStyle name="Normal 2" xfId="27" xr:uid="{BF23A9D7-938F-47E5-A1E4-BDC4D19C61EA}"/>
    <cellStyle name="Normal 2 2" xfId="28" xr:uid="{8BADCBAF-72E0-4ECA-BF9C-C06C2D11577B}"/>
    <cellStyle name="Normal 2 2 2" xfId="29" xr:uid="{5D03A160-FF5F-47B6-BA68-B2061390DDB1}"/>
    <cellStyle name="Normal 2 2 2 2" xfId="30" xr:uid="{8D5B865E-8FC6-49E3-B5AE-1FD83B2AB4D1}"/>
    <cellStyle name="Normal 2 2 2 2 2" xfId="31" xr:uid="{FD3D6745-39F9-4E63-8012-DF0A09C6A9C9}"/>
    <cellStyle name="Normal 2 2 2 3" xfId="32" xr:uid="{FEF35C08-4A04-4DB4-8708-A82CB2123AED}"/>
    <cellStyle name="Normal 2 2 3" xfId="33" xr:uid="{6A4F04DA-DB45-417C-BC38-FB340E0B398C}"/>
    <cellStyle name="Normal 2 2 4" xfId="34" xr:uid="{41C7B7C6-56A3-45E7-808F-04FFBCC62874}"/>
    <cellStyle name="Normal 2 2 4 2" xfId="35" xr:uid="{83E417E0-B52D-40DC-B556-1B50F3EBD7B3}"/>
    <cellStyle name="Normal 2 3" xfId="36" xr:uid="{AA4F52FD-9709-4E0C-88AF-D414462F89F7}"/>
    <cellStyle name="Normal 2 4" xfId="37" xr:uid="{E5C856F4-8DBA-49A8-B698-01911544E629}"/>
    <cellStyle name="Normal 3" xfId="38" xr:uid="{A3C1C742-C7DF-42A7-AB3C-4DBF7EA213EF}"/>
    <cellStyle name="Normal 3 2" xfId="39" xr:uid="{AA8F3959-9A85-4210-B0F5-33C8D84270F7}"/>
    <cellStyle name="Normal_Sheet1" xfId="40" xr:uid="{40089308-571F-4AC0-8E0B-A00C748AB446}"/>
    <cellStyle name="Style 1" xfId="41" xr:uid="{DF10CF8D-ED41-4121-B989-419CD9CEDF90}"/>
    <cellStyle name="Style 1 2" xfId="42" xr:uid="{801C2075-7A98-459B-A770-0128AF794260}"/>
    <cellStyle name="강조색1" xfId="43" builtinId="29" customBuiltin="1"/>
    <cellStyle name="강조색2" xfId="44" builtinId="33" customBuiltin="1"/>
    <cellStyle name="강조색3" xfId="45" builtinId="37" customBuiltin="1"/>
    <cellStyle name="강조색4" xfId="46" builtinId="41" customBuiltin="1"/>
    <cellStyle name="강조색5" xfId="47" builtinId="45" customBuiltin="1"/>
    <cellStyle name="강조색6" xfId="48" builtinId="49" customBuiltin="1"/>
    <cellStyle name="경고문" xfId="49" builtinId="11" customBuiltin="1"/>
    <cellStyle name="계산" xfId="50" builtinId="22" customBuiltin="1"/>
    <cellStyle name="나쁨" xfId="51" builtinId="27" customBuiltin="1"/>
    <cellStyle name="나쁨 2" xfId="52" xr:uid="{9DEB61AB-8FED-4E63-84C0-0CA356484AC0}"/>
    <cellStyle name="나쁨 3" xfId="53" xr:uid="{CD35CD2A-F4EA-4E50-BCC3-4B78ED031D2E}"/>
    <cellStyle name="나쁨 4" xfId="54" xr:uid="{3CB3AFF3-1CE1-4777-A57D-F61E62E17B7D}"/>
    <cellStyle name="메모" xfId="55" builtinId="10" customBuiltin="1"/>
    <cellStyle name="보통" xfId="56" builtinId="28" customBuiltin="1"/>
    <cellStyle name="보통 2" xfId="57" xr:uid="{4E45A175-68C6-476B-BB9A-796B5A9620F2}"/>
    <cellStyle name="설명 텍스트" xfId="58" builtinId="53" customBuiltin="1"/>
    <cellStyle name="셀 확인" xfId="59" builtinId="23" customBuiltin="1"/>
    <cellStyle name="셀 확인 2" xfId="60" xr:uid="{9E3AB707-F04A-403A-AF7D-F09659A27546}"/>
    <cellStyle name="셀 확인 3" xfId="61" xr:uid="{FC3AE2F0-25CF-41D4-9E4D-76E158446E1C}"/>
    <cellStyle name="셀 확인 4" xfId="62" xr:uid="{D20869E5-E66F-4F5F-8D23-81722BAFF67C}"/>
    <cellStyle name="쉼표 2" xfId="63" xr:uid="{B1394773-BB94-4A9A-9D99-7BC858672051}"/>
    <cellStyle name="쉼표 2 2" xfId="64" xr:uid="{12493FFE-7A98-49D5-AB3C-E205E3A96FBE}"/>
    <cellStyle name="쉼표 3" xfId="65" xr:uid="{C595D365-B5E7-4567-9558-4BB311098867}"/>
    <cellStyle name="연결된 셀" xfId="66" builtinId="24" customBuiltin="1"/>
    <cellStyle name="요약" xfId="67" builtinId="25" customBuiltin="1"/>
    <cellStyle name="입력" xfId="68" builtinId="20" customBuiltin="1"/>
    <cellStyle name="제목" xfId="69" builtinId="15" customBuiltin="1"/>
    <cellStyle name="제목 1" xfId="70" builtinId="16" customBuiltin="1"/>
    <cellStyle name="제목 2" xfId="71" builtinId="17" customBuiltin="1"/>
    <cellStyle name="제목 3" xfId="72" builtinId="18" customBuiltin="1"/>
    <cellStyle name="제목 4" xfId="73" builtinId="19" customBuiltin="1"/>
    <cellStyle name="좋음" xfId="74" builtinId="26" customBuiltin="1"/>
    <cellStyle name="좋음 2" xfId="75" xr:uid="{921272D2-9215-436A-9E8D-C8BB4929C7F2}"/>
    <cellStyle name="좋음 3" xfId="76" xr:uid="{E4F1DDA6-6047-435F-9CB4-98BF983D1753}"/>
    <cellStyle name="좋음 4" xfId="77" xr:uid="{5BC48C4F-3095-40F7-AAA1-2D60D498980B}"/>
    <cellStyle name="출력" xfId="78" builtinId="21" customBuiltin="1"/>
    <cellStyle name="통화 [0]" xfId="96" builtinId="7"/>
    <cellStyle name="통화 [0] 2" xfId="79" xr:uid="{ED0FC8CE-3C4A-47E1-BE46-2381258B9D8B}"/>
    <cellStyle name="통화 2" xfId="80" xr:uid="{CA142B78-D640-4A8C-9E83-29986CC947A7}"/>
    <cellStyle name="통화 2 2" xfId="81" xr:uid="{D5E448FD-A102-4BE7-B2B8-6D7522C95094}"/>
    <cellStyle name="통화 3" xfId="82" xr:uid="{67FE434B-95DC-4244-8F03-EFBA3A24DC9D}"/>
    <cellStyle name="통화 4" xfId="83" xr:uid="{85DF10F6-4BCD-4D6A-969B-792E9ED9C50D}"/>
    <cellStyle name="통화 5" xfId="84" xr:uid="{64CCFBD0-8684-478D-AEFC-65E423E34367}"/>
    <cellStyle name="통화 6" xfId="85" xr:uid="{6C65309D-0A01-4CE3-B924-3C8652A09C58}"/>
    <cellStyle name="통화 7" xfId="86" xr:uid="{329E433E-8218-4BA6-B9C6-0C342531BF2F}"/>
    <cellStyle name="통화 8" xfId="87" xr:uid="{67A75B45-DCE0-40E4-B4FF-1AF3312D5814}"/>
    <cellStyle name="표준" xfId="0" builtinId="0"/>
    <cellStyle name="표준 2" xfId="88" xr:uid="{A59136AD-2DA2-447C-A70C-35D6CD51C293}"/>
    <cellStyle name="표준 2 2" xfId="89" xr:uid="{3DDA48C6-151A-4A0D-8757-D1648F49EE5E}"/>
    <cellStyle name="표준 3" xfId="90" xr:uid="{1D248C29-747B-414A-8AE0-1E1FD17D5B31}"/>
    <cellStyle name="표준 4" xfId="91" xr:uid="{BAEF4FBA-2061-41C4-A95D-C153004A77AA}"/>
    <cellStyle name="표준 4 2" xfId="92" xr:uid="{F4E8B83B-51E5-4EA6-8623-730BD4857104}"/>
    <cellStyle name="표준 5" xfId="93" xr:uid="{874D0CBD-E0D3-4FC6-B900-AA938E1AA542}"/>
    <cellStyle name="표준 5 2" xfId="94" xr:uid="{CFF018E7-CCBF-45BB-8129-E03622B310BD}"/>
    <cellStyle name="표준 6" xfId="97" xr:uid="{CC984E06-7321-4D85-A767-54708D02D448}"/>
    <cellStyle name="표준 7" xfId="95" xr:uid="{10ED4069-A6FE-4AFB-9B8A-5DF95C50F67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2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714807153095124E-2"/>
          <c:y val="0.1360044484419409"/>
          <c:w val="0.84670008505218974"/>
          <c:h val="0.72935718919354586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FF0000"/>
              </a:solidFill>
              <a:ln w="127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BDD1-4043-8FA7-05AD7D9E8DBB}"/>
              </c:ext>
            </c:extLst>
          </c:dPt>
          <c:dPt>
            <c:idx val="1"/>
            <c:bubble3D val="0"/>
            <c:spPr>
              <a:solidFill>
                <a:srgbClr val="FFCC00"/>
              </a:solidFill>
              <a:ln w="127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DD1-4043-8FA7-05AD7D9E8DB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27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BDD1-4043-8FA7-05AD7D9E8DBB}"/>
              </c:ext>
            </c:extLst>
          </c:dPt>
          <c:dPt>
            <c:idx val="3"/>
            <c:bubble3D val="0"/>
            <c:spPr>
              <a:solidFill>
                <a:srgbClr val="99CC00"/>
              </a:solidFill>
              <a:ln w="127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DD1-4043-8FA7-05AD7D9E8DBB}"/>
              </c:ext>
            </c:extLst>
          </c:dPt>
          <c:dPt>
            <c:idx val="4"/>
            <c:bubble3D val="0"/>
            <c:spPr>
              <a:solidFill>
                <a:srgbClr val="008080"/>
              </a:solidFill>
              <a:ln w="127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BDD1-4043-8FA7-05AD7D9E8DBB}"/>
              </c:ext>
            </c:extLst>
          </c:dPt>
          <c:dPt>
            <c:idx val="5"/>
            <c:bubble3D val="0"/>
            <c:spPr>
              <a:solidFill>
                <a:srgbClr val="00CCFF"/>
              </a:solidFill>
              <a:ln w="127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DD1-4043-8FA7-05AD7D9E8DBB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BDD1-4043-8FA7-05AD7D9E8DBB}"/>
              </c:ext>
            </c:extLst>
          </c:dPt>
          <c:dPt>
            <c:idx val="7"/>
            <c:bubble3D val="0"/>
            <c:spPr>
              <a:solidFill>
                <a:srgbClr val="666699"/>
              </a:solidFill>
              <a:ln w="127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DD1-4043-8FA7-05AD7D9E8DBB}"/>
              </c:ext>
            </c:extLst>
          </c:dPt>
          <c:dLbls>
            <c:dLbl>
              <c:idx val="0"/>
              <c:layout>
                <c:manualLayout>
                  <c:x val="-0.29343458694953389"/>
                  <c:y val="-0.21771268591426071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D1-4043-8FA7-05AD7D9E8DBB}"/>
                </c:ext>
              </c:extLst>
            </c:dLbl>
            <c:dLbl>
              <c:idx val="1"/>
              <c:layout>
                <c:manualLayout>
                  <c:x val="2.8113982136032417E-2"/>
                  <c:y val="4.8437095363079614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D1-4043-8FA7-05AD7D9E8DBB}"/>
                </c:ext>
              </c:extLst>
            </c:dLbl>
            <c:dLbl>
              <c:idx val="2"/>
              <c:layout>
                <c:manualLayout>
                  <c:x val="2.8917582264608437E-2"/>
                  <c:y val="-0.1525994750656168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D1-4043-8FA7-05AD7D9E8DBB}"/>
                </c:ext>
              </c:extLst>
            </c:dLbl>
            <c:dLbl>
              <c:idx val="3"/>
              <c:layout>
                <c:manualLayout>
                  <c:x val="3.0926582586048489E-2"/>
                  <c:y val="1.6884864391951006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D1-4043-8FA7-05AD7D9E8DBB}"/>
                </c:ext>
              </c:extLst>
            </c:dLbl>
            <c:dLbl>
              <c:idx val="4"/>
              <c:layout>
                <c:manualLayout>
                  <c:x val="2.7802413078307352E-2"/>
                  <c:y val="-5.8977252843394577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D1-4043-8FA7-05AD7D9E8DBB}"/>
                </c:ext>
              </c:extLst>
            </c:dLbl>
            <c:dLbl>
              <c:idx val="5"/>
              <c:layout>
                <c:manualLayout>
                  <c:x val="0.13086957126984006"/>
                  <c:y val="-8.0576902887139104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DD1-4043-8FA7-05AD7D9E8DBB}"/>
                </c:ext>
              </c:extLst>
            </c:dLbl>
            <c:dLbl>
              <c:idx val="6"/>
              <c:layout>
                <c:manualLayout>
                  <c:x val="0.16868680349382556"/>
                  <c:y val="-4.0812948381452316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DD1-4043-8FA7-05AD7D9E8DBB}"/>
                </c:ext>
              </c:extLst>
            </c:dLbl>
            <c:dLbl>
              <c:idx val="7"/>
              <c:layout>
                <c:manualLayout>
                  <c:x val="7.2456257577253177E-3"/>
                  <c:y val="-1.1657742782152231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DD1-4043-8FA7-05AD7D9E8DBB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종합!$C$10:$C$17</c:f>
              <c:strCache>
                <c:ptCount val="8"/>
                <c:pt idx="0">
                  <c:v>엔진&amp;구동시스템</c:v>
                </c:pt>
                <c:pt idx="1">
                  <c:v>조향시스템</c:v>
                </c:pt>
                <c:pt idx="2">
                  <c:v>현가시스템</c:v>
                </c:pt>
                <c:pt idx="3">
                  <c:v>제동시스템</c:v>
                </c:pt>
                <c:pt idx="4">
                  <c:v>프레임&amp;바디</c:v>
                </c:pt>
                <c:pt idx="5">
                  <c:v>전장시스템</c:v>
                </c:pt>
                <c:pt idx="6">
                  <c:v>휠&amp;타이어</c:v>
                </c:pt>
                <c:pt idx="7">
                  <c:v>기타</c:v>
                </c:pt>
              </c:strCache>
            </c:strRef>
          </c:cat>
          <c:val>
            <c:numRef>
              <c:f>종합!$D$10:$D$17</c:f>
              <c:numCache>
                <c:formatCode>_("₩"* #,##0_);_("₩"* \(#,##0\);_("₩"* "-"_);_(@_)</c:formatCode>
                <c:ptCount val="8"/>
                <c:pt idx="0">
                  <c:v>29516403.940000001</c:v>
                </c:pt>
                <c:pt idx="1">
                  <c:v>1359486</c:v>
                </c:pt>
                <c:pt idx="2">
                  <c:v>8819776</c:v>
                </c:pt>
                <c:pt idx="3">
                  <c:v>1760668</c:v>
                </c:pt>
                <c:pt idx="4">
                  <c:v>2492308</c:v>
                </c:pt>
                <c:pt idx="5">
                  <c:v>1643380</c:v>
                </c:pt>
                <c:pt idx="6">
                  <c:v>6018192</c:v>
                </c:pt>
                <c:pt idx="7">
                  <c:v>1428072.81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DD1-4043-8FA7-05AD7D9E8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0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ko-KR"/>
    </a:p>
  </c:txPr>
  <c:printSettings>
    <c:headerFooter alignWithMargins="0"/>
    <c:pageMargins b="1" l="0.75" r="0.75" t="1" header="6.3659873728958169E-314" footer="0"/>
    <c:pageSetup paperSize="9" firstPageNumber="0" orientation="landscape" horizontalDpi="360" verticalDpi="36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1851660</xdr:colOff>
      <xdr:row>0</xdr:row>
      <xdr:rowOff>144780</xdr:rowOff>
    </xdr:from>
    <xdr:to>
      <xdr:col>16</xdr:col>
      <xdr:colOff>579120</xdr:colOff>
      <xdr:row>28</xdr:row>
      <xdr:rowOff>175260</xdr:rowOff>
    </xdr:to>
    <xdr:graphicFrame macro="">
      <xdr:nvGraphicFramePr>
        <xdr:cNvPr id="1041" name="차트 2">
          <a:extLst>
            <a:ext uri="{FF2B5EF4-FFF2-40B4-BE49-F238E27FC236}">
              <a16:creationId xmlns:a16="http://schemas.microsoft.com/office/drawing/2014/main" id="{15ABE9E2-C8BB-88B3-E7B2-5C9601130B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617220</xdr:colOff>
      <xdr:row>0</xdr:row>
      <xdr:rowOff>99060</xdr:rowOff>
    </xdr:from>
    <xdr:to>
      <xdr:col>1</xdr:col>
      <xdr:colOff>403860</xdr:colOff>
      <xdr:row>1</xdr:row>
      <xdr:rowOff>320040</xdr:rowOff>
    </xdr:to>
    <xdr:pic>
      <xdr:nvPicPr>
        <xdr:cNvPr id="2065" name="_x230042760" descr="EMB00001e4c1348">
          <a:extLst>
            <a:ext uri="{FF2B5EF4-FFF2-40B4-BE49-F238E27FC236}">
              <a16:creationId xmlns:a16="http://schemas.microsoft.com/office/drawing/2014/main" id="{320603CE-977E-2F5A-B3C9-2FA10A923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" y="99060"/>
          <a:ext cx="632460" cy="62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4B9E-884A-4EDD-A75E-207B6FE9490A}">
  <sheetPr codeName="Sheet1">
    <pageSetUpPr fitToPage="1"/>
  </sheetPr>
  <dimension ref="B2:D30"/>
  <sheetViews>
    <sheetView zoomScaleNormal="100" zoomScaleSheetLayoutView="75" workbookViewId="0">
      <selection activeCell="B30" sqref="B30:D30"/>
    </sheetView>
  </sheetViews>
  <sheetFormatPr defaultRowHeight="15" x14ac:dyDescent="0.25"/>
  <cols>
    <col min="2" max="2" width="13.85546875" customWidth="1"/>
    <col min="3" max="3" width="19.85546875" bestFit="1" customWidth="1"/>
    <col min="4" max="4" width="27.140625" customWidth="1"/>
  </cols>
  <sheetData>
    <row r="2" spans="2:4" ht="17.25" x14ac:dyDescent="0.25">
      <c r="B2" s="122" t="s">
        <v>40</v>
      </c>
      <c r="C2" s="122"/>
      <c r="D2" s="122"/>
    </row>
    <row r="3" spans="2:4" ht="9" customHeight="1" x14ac:dyDescent="0.25">
      <c r="B3" s="23"/>
      <c r="C3" s="23"/>
      <c r="D3" s="23"/>
    </row>
    <row r="4" spans="2:4" ht="16.5" x14ac:dyDescent="0.3">
      <c r="B4" s="127" t="s">
        <v>51</v>
      </c>
      <c r="C4" s="127"/>
      <c r="D4" s="24">
        <f>원가명세표!I1</f>
        <v>5</v>
      </c>
    </row>
    <row r="5" spans="2:4" ht="16.5" x14ac:dyDescent="0.3">
      <c r="B5" s="127" t="s">
        <v>50</v>
      </c>
      <c r="C5" s="127"/>
      <c r="D5" s="24" t="str">
        <f>원가명세표!K1</f>
        <v>영남대학교</v>
      </c>
    </row>
    <row r="6" spans="2:4" ht="16.5" x14ac:dyDescent="0.3">
      <c r="B6" s="127" t="s">
        <v>67</v>
      </c>
      <c r="C6" s="127"/>
      <c r="D6" s="38" t="str">
        <f>원가명세표!CompCode</f>
        <v>천마DM</v>
      </c>
    </row>
    <row r="7" spans="2:4" ht="16.5" x14ac:dyDescent="0.25">
      <c r="B7" s="128" t="s">
        <v>75</v>
      </c>
      <c r="C7" s="128"/>
      <c r="D7" s="14">
        <f>원가명세표!Car</f>
        <v>53038286.75</v>
      </c>
    </row>
    <row r="8" spans="2:4" ht="9.75" customHeight="1" x14ac:dyDescent="0.25"/>
    <row r="9" spans="2:4" ht="16.5" x14ac:dyDescent="0.25">
      <c r="B9" s="1" t="s">
        <v>47</v>
      </c>
      <c r="C9" s="1" t="s">
        <v>44</v>
      </c>
      <c r="D9" s="2" t="s">
        <v>43</v>
      </c>
    </row>
    <row r="10" spans="2:4" ht="16.5" x14ac:dyDescent="0.25">
      <c r="B10" s="20">
        <v>1</v>
      </c>
      <c r="C10" s="11" t="s">
        <v>11</v>
      </c>
      <c r="D10" s="6">
        <f>원가명세표!K386</f>
        <v>29516403.940000001</v>
      </c>
    </row>
    <row r="11" spans="2:4" ht="16.5" x14ac:dyDescent="0.25">
      <c r="B11" s="20">
        <v>2</v>
      </c>
      <c r="C11" s="9" t="s">
        <v>77</v>
      </c>
      <c r="D11" s="6">
        <f>원가명세표!K23</f>
        <v>1359486</v>
      </c>
    </row>
    <row r="12" spans="2:4" ht="16.5" x14ac:dyDescent="0.25">
      <c r="B12" s="20">
        <v>3</v>
      </c>
      <c r="C12" s="10" t="s">
        <v>73</v>
      </c>
      <c r="D12" s="6">
        <f>원가명세표!K83</f>
        <v>8819776</v>
      </c>
    </row>
    <row r="13" spans="2:4" ht="16.5" x14ac:dyDescent="0.25">
      <c r="B13" s="20">
        <v>4</v>
      </c>
      <c r="C13" s="15" t="s">
        <v>68</v>
      </c>
      <c r="D13" s="6">
        <f>원가명세표!K119</f>
        <v>1760668</v>
      </c>
    </row>
    <row r="14" spans="2:4" ht="16.5" x14ac:dyDescent="0.25">
      <c r="B14" s="20">
        <v>5</v>
      </c>
      <c r="C14" s="16" t="s">
        <v>76</v>
      </c>
      <c r="D14" s="6">
        <f>원가명세표!K201</f>
        <v>2492308</v>
      </c>
    </row>
    <row r="15" spans="2:4" ht="16.5" x14ac:dyDescent="0.25">
      <c r="B15" s="20">
        <v>6</v>
      </c>
      <c r="C15" s="17" t="s">
        <v>71</v>
      </c>
      <c r="D15" s="6">
        <f>원가명세표!K551</f>
        <v>1643380</v>
      </c>
    </row>
    <row r="16" spans="2:4" ht="16.5" x14ac:dyDescent="0.25">
      <c r="B16" s="20">
        <v>7</v>
      </c>
      <c r="C16" s="18" t="s">
        <v>74</v>
      </c>
      <c r="D16" s="6">
        <f>원가명세표!K206</f>
        <v>6018192</v>
      </c>
    </row>
    <row r="17" spans="2:4" ht="16.5" x14ac:dyDescent="0.25">
      <c r="B17" s="20">
        <v>8</v>
      </c>
      <c r="C17" s="19" t="s">
        <v>49</v>
      </c>
      <c r="D17" s="6">
        <f>원가명세표!K242</f>
        <v>1428072.81</v>
      </c>
    </row>
    <row r="18" spans="2:4" ht="16.5" x14ac:dyDescent="0.25">
      <c r="B18" s="3"/>
      <c r="C18" s="3" t="s">
        <v>12</v>
      </c>
      <c r="D18" s="7">
        <f>SUM(D10:D17)</f>
        <v>53038286.75</v>
      </c>
    </row>
    <row r="20" spans="2:4" x14ac:dyDescent="0.25">
      <c r="B20" s="4" t="s">
        <v>97</v>
      </c>
    </row>
    <row r="21" spans="2:4" x14ac:dyDescent="0.25">
      <c r="B21" s="5" t="s">
        <v>56</v>
      </c>
    </row>
    <row r="23" spans="2:4" x14ac:dyDescent="0.25">
      <c r="B23" s="123" t="s">
        <v>62</v>
      </c>
      <c r="C23" s="123"/>
      <c r="D23" s="123"/>
    </row>
    <row r="24" spans="2:4" x14ac:dyDescent="0.25">
      <c r="B24" s="124" t="s">
        <v>9</v>
      </c>
      <c r="C24" s="124"/>
      <c r="D24" s="124"/>
    </row>
    <row r="25" spans="2:4" ht="15" customHeight="1" x14ac:dyDescent="0.25">
      <c r="B25" s="125" t="s">
        <v>10</v>
      </c>
      <c r="C25" s="125"/>
      <c r="D25" s="125"/>
    </row>
    <row r="26" spans="2:4" x14ac:dyDescent="0.25">
      <c r="B26" s="125"/>
      <c r="C26" s="125"/>
      <c r="D26" s="125"/>
    </row>
    <row r="27" spans="2:4" x14ac:dyDescent="0.25">
      <c r="B27" s="124" t="s">
        <v>8</v>
      </c>
      <c r="C27" s="124"/>
      <c r="D27" s="124"/>
    </row>
    <row r="28" spans="2:4" x14ac:dyDescent="0.25">
      <c r="B28" s="126" t="s">
        <v>7</v>
      </c>
      <c r="C28" s="126"/>
      <c r="D28" s="126"/>
    </row>
    <row r="29" spans="2:4" x14ac:dyDescent="0.25">
      <c r="B29" s="126" t="s">
        <v>59</v>
      </c>
      <c r="C29" s="126"/>
      <c r="D29" s="126"/>
    </row>
    <row r="30" spans="2:4" x14ac:dyDescent="0.25">
      <c r="B30" s="124" t="s">
        <v>3</v>
      </c>
      <c r="C30" s="124"/>
      <c r="D30" s="124"/>
    </row>
  </sheetData>
  <sheetProtection selectLockedCells="1" selectUnlockedCells="1"/>
  <mergeCells count="12">
    <mergeCell ref="B30:D30"/>
    <mergeCell ref="B29:D29"/>
    <mergeCell ref="B28:D28"/>
    <mergeCell ref="B4:C4"/>
    <mergeCell ref="B5:C5"/>
    <mergeCell ref="B6:C6"/>
    <mergeCell ref="B7:C7"/>
    <mergeCell ref="B2:D2"/>
    <mergeCell ref="B23:D23"/>
    <mergeCell ref="B24:D24"/>
    <mergeCell ref="B25:D26"/>
    <mergeCell ref="B27:D27"/>
  </mergeCells>
  <phoneticPr fontId="21" type="noConversion"/>
  <pageMargins left="0.98416668176651001" right="0.98416668176651001" top="0.98416668176651001" bottom="0.98416668176651001" header="0" footer="0"/>
  <pageSetup paperSize="9" scale="66" orientation="landscape" horizontalDpi="4294967292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46E6-4099-4440-A3F2-32130510E418}">
  <sheetPr codeName="Sheet2">
    <tabColor indexed="25"/>
  </sheetPr>
  <dimension ref="A1:O557"/>
  <sheetViews>
    <sheetView tabSelected="1" view="pageBreakPreview" zoomScale="70" zoomScaleNormal="100" zoomScaleSheetLayoutView="70" workbookViewId="0">
      <pane xSplit="2" ySplit="4" topLeftCell="C531" activePane="bottomRight" state="frozen"/>
      <selection activeCell="F117" sqref="F117"/>
      <selection pane="topRight"/>
      <selection pane="bottomLeft"/>
      <selection pane="bottomRight" activeCell="E545" sqref="E545"/>
    </sheetView>
  </sheetViews>
  <sheetFormatPr defaultColWidth="10.42578125" defaultRowHeight="16.5" x14ac:dyDescent="0.25"/>
  <cols>
    <col min="1" max="1" width="12.42578125" style="56" bestFit="1" customWidth="1"/>
    <col min="2" max="2" width="22.140625" style="29" customWidth="1"/>
    <col min="3" max="3" width="30.5703125" style="56" customWidth="1"/>
    <col min="4" max="4" width="42.42578125" style="29" customWidth="1"/>
    <col min="5" max="5" width="37" style="29" customWidth="1"/>
    <col min="6" max="6" width="21.5703125" style="56" customWidth="1"/>
    <col min="7" max="7" width="17.5703125" style="29" customWidth="1"/>
    <col min="8" max="8" width="17.140625" style="69" customWidth="1"/>
    <col min="9" max="9" width="17.5703125" style="56" customWidth="1"/>
    <col min="10" max="10" width="17.140625" style="56" customWidth="1"/>
    <col min="11" max="11" width="18.85546875" style="56" customWidth="1"/>
    <col min="12" max="12" width="10.42578125" style="29" customWidth="1"/>
    <col min="13" max="14" width="16.140625" style="29" bestFit="1" customWidth="1"/>
    <col min="15" max="15" width="20.42578125" style="12" customWidth="1"/>
    <col min="16" max="16384" width="10.42578125" style="12"/>
  </cols>
  <sheetData>
    <row r="1" spans="1:14" ht="32.25" customHeight="1" x14ac:dyDescent="0.25">
      <c r="A1" s="133" t="s">
        <v>40</v>
      </c>
      <c r="B1" s="134"/>
      <c r="C1" s="134"/>
      <c r="D1" s="134"/>
      <c r="E1" s="134"/>
      <c r="F1" s="134"/>
      <c r="G1" s="135"/>
      <c r="H1" s="27" t="s">
        <v>51</v>
      </c>
      <c r="I1" s="37">
        <v>5</v>
      </c>
      <c r="J1" s="22" t="s">
        <v>50</v>
      </c>
      <c r="K1" s="25" t="s">
        <v>70</v>
      </c>
      <c r="M1" s="99" t="s">
        <v>66</v>
      </c>
      <c r="N1" s="100" t="s">
        <v>69</v>
      </c>
    </row>
    <row r="2" spans="1:14" ht="32.25" customHeight="1" x14ac:dyDescent="0.25">
      <c r="A2" s="136"/>
      <c r="B2" s="137"/>
      <c r="C2" s="137"/>
      <c r="D2" s="137"/>
      <c r="E2" s="137"/>
      <c r="F2" s="137"/>
      <c r="G2" s="138"/>
      <c r="H2" s="28" t="s">
        <v>67</v>
      </c>
      <c r="I2" s="26" t="s">
        <v>983</v>
      </c>
      <c r="J2" s="35" t="s">
        <v>75</v>
      </c>
      <c r="K2" s="57">
        <f>K552</f>
        <v>53038286.75</v>
      </c>
    </row>
    <row r="3" spans="1:14" s="30" customFormat="1" x14ac:dyDescent="0.25">
      <c r="A3" s="58"/>
      <c r="B3" s="29"/>
      <c r="C3" s="56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1:14" s="31" customFormat="1" ht="24" customHeight="1" x14ac:dyDescent="0.25">
      <c r="A4" s="8" t="s">
        <v>47</v>
      </c>
      <c r="B4" s="36" t="s">
        <v>44</v>
      </c>
      <c r="C4" s="15" t="s">
        <v>64</v>
      </c>
      <c r="D4" s="15"/>
      <c r="E4" s="15" t="s">
        <v>45</v>
      </c>
      <c r="F4" s="15" t="s">
        <v>72</v>
      </c>
      <c r="G4" s="15" t="s">
        <v>78</v>
      </c>
      <c r="H4" s="15" t="s">
        <v>65</v>
      </c>
      <c r="I4" s="34" t="s">
        <v>53</v>
      </c>
      <c r="J4" s="8" t="s">
        <v>46</v>
      </c>
      <c r="K4" s="34" t="s">
        <v>48</v>
      </c>
      <c r="L4" s="29"/>
      <c r="M4" s="29"/>
      <c r="N4" s="29"/>
    </row>
    <row r="5" spans="1:14" ht="24" customHeight="1" x14ac:dyDescent="0.25">
      <c r="A5" s="70">
        <v>1</v>
      </c>
      <c r="B5" s="49" t="s">
        <v>99</v>
      </c>
      <c r="C5" s="130" t="s">
        <v>100</v>
      </c>
      <c r="D5" s="49" t="s">
        <v>101</v>
      </c>
      <c r="E5" s="49" t="s">
        <v>101</v>
      </c>
      <c r="F5" s="71" t="s">
        <v>102</v>
      </c>
      <c r="G5" s="60"/>
      <c r="H5" s="48">
        <v>15000</v>
      </c>
      <c r="I5" s="60">
        <f>SUM(G5:H5)</f>
        <v>15000</v>
      </c>
      <c r="J5" s="49">
        <v>1</v>
      </c>
      <c r="K5" s="60">
        <f>I5*J5</f>
        <v>15000</v>
      </c>
    </row>
    <row r="6" spans="1:14" ht="24" customHeight="1" x14ac:dyDescent="0.25">
      <c r="A6" s="70">
        <v>2</v>
      </c>
      <c r="B6" s="49" t="s">
        <v>99</v>
      </c>
      <c r="C6" s="130"/>
      <c r="D6" s="49" t="s">
        <v>101</v>
      </c>
      <c r="E6" s="49" t="s">
        <v>979</v>
      </c>
      <c r="F6" s="71" t="s">
        <v>803</v>
      </c>
      <c r="G6" s="60">
        <v>85468</v>
      </c>
      <c r="H6" s="48"/>
      <c r="I6" s="60">
        <f>SUM(G6:H6)</f>
        <v>85468</v>
      </c>
      <c r="J6" s="49">
        <v>1</v>
      </c>
      <c r="K6" s="60">
        <f>I6*J6</f>
        <v>85468</v>
      </c>
    </row>
    <row r="7" spans="1:14" ht="24" customHeight="1" x14ac:dyDescent="0.25">
      <c r="A7" s="70">
        <v>3</v>
      </c>
      <c r="B7" s="49" t="s">
        <v>99</v>
      </c>
      <c r="C7" s="130"/>
      <c r="D7" s="49" t="s">
        <v>101</v>
      </c>
      <c r="E7" s="49" t="s">
        <v>881</v>
      </c>
      <c r="F7" s="71" t="s">
        <v>469</v>
      </c>
      <c r="G7" s="60">
        <v>40</v>
      </c>
      <c r="H7" s="48"/>
      <c r="I7" s="60">
        <f t="shared" ref="I7:I16" si="0">SUM(G7:H7)</f>
        <v>40</v>
      </c>
      <c r="J7" s="49">
        <v>4</v>
      </c>
      <c r="K7" s="60">
        <f t="shared" ref="K7:K17" si="1">I7*J7</f>
        <v>160</v>
      </c>
    </row>
    <row r="8" spans="1:14" ht="24" customHeight="1" x14ac:dyDescent="0.25">
      <c r="A8" s="70">
        <v>4</v>
      </c>
      <c r="B8" s="49" t="s">
        <v>99</v>
      </c>
      <c r="C8" s="130"/>
      <c r="D8" s="49" t="s">
        <v>101</v>
      </c>
      <c r="E8" s="79" t="s">
        <v>856</v>
      </c>
      <c r="F8" s="71" t="s">
        <v>469</v>
      </c>
      <c r="G8" s="60">
        <v>50</v>
      </c>
      <c r="H8" s="48"/>
      <c r="I8" s="60">
        <f t="shared" si="0"/>
        <v>50</v>
      </c>
      <c r="J8" s="49">
        <v>4</v>
      </c>
      <c r="K8" s="60">
        <f t="shared" si="1"/>
        <v>200</v>
      </c>
    </row>
    <row r="9" spans="1:14" ht="24" customHeight="1" x14ac:dyDescent="0.25">
      <c r="A9" s="70">
        <v>5</v>
      </c>
      <c r="B9" s="49" t="s">
        <v>99</v>
      </c>
      <c r="C9" s="140" t="s">
        <v>103</v>
      </c>
      <c r="D9" s="49" t="s">
        <v>104</v>
      </c>
      <c r="E9" s="49" t="s">
        <v>105</v>
      </c>
      <c r="F9" s="71" t="s">
        <v>106</v>
      </c>
      <c r="G9" s="60">
        <v>917000</v>
      </c>
      <c r="H9" s="48"/>
      <c r="I9" s="60">
        <f t="shared" si="0"/>
        <v>917000</v>
      </c>
      <c r="J9" s="49">
        <v>1</v>
      </c>
      <c r="K9" s="60">
        <f t="shared" si="1"/>
        <v>917000</v>
      </c>
    </row>
    <row r="10" spans="1:14" ht="24" customHeight="1" x14ac:dyDescent="0.25">
      <c r="A10" s="70">
        <v>6</v>
      </c>
      <c r="B10" s="49" t="s">
        <v>99</v>
      </c>
      <c r="C10" s="144"/>
      <c r="D10" s="49" t="s">
        <v>104</v>
      </c>
      <c r="E10" s="49" t="s">
        <v>107</v>
      </c>
      <c r="F10" s="71" t="s">
        <v>215</v>
      </c>
      <c r="G10" s="60">
        <v>50000</v>
      </c>
      <c r="H10" s="48"/>
      <c r="I10" s="60">
        <f t="shared" si="0"/>
        <v>50000</v>
      </c>
      <c r="J10" s="49">
        <v>2</v>
      </c>
      <c r="K10" s="60">
        <f t="shared" si="1"/>
        <v>100000</v>
      </c>
    </row>
    <row r="11" spans="1:14" ht="24" customHeight="1" x14ac:dyDescent="0.25">
      <c r="A11" s="70">
        <v>7</v>
      </c>
      <c r="B11" s="49" t="s">
        <v>99</v>
      </c>
      <c r="C11" s="144"/>
      <c r="D11" s="49" t="s">
        <v>104</v>
      </c>
      <c r="E11" s="49" t="s">
        <v>110</v>
      </c>
      <c r="F11" s="71" t="s">
        <v>111</v>
      </c>
      <c r="G11" s="60">
        <v>45000</v>
      </c>
      <c r="H11" s="48"/>
      <c r="I11" s="60">
        <f t="shared" si="0"/>
        <v>45000</v>
      </c>
      <c r="J11" s="49">
        <v>1</v>
      </c>
      <c r="K11" s="60">
        <f t="shared" si="1"/>
        <v>45000</v>
      </c>
    </row>
    <row r="12" spans="1:14" ht="24" customHeight="1" x14ac:dyDescent="0.25">
      <c r="A12" s="70">
        <v>8</v>
      </c>
      <c r="B12" s="49" t="s">
        <v>99</v>
      </c>
      <c r="C12" s="144"/>
      <c r="D12" s="49" t="s">
        <v>104</v>
      </c>
      <c r="E12" s="49" t="s">
        <v>949</v>
      </c>
      <c r="F12" s="71" t="s">
        <v>469</v>
      </c>
      <c r="G12" s="60">
        <v>50</v>
      </c>
      <c r="H12" s="48"/>
      <c r="I12" s="60">
        <f t="shared" si="0"/>
        <v>50</v>
      </c>
      <c r="J12" s="49">
        <v>12</v>
      </c>
      <c r="K12" s="60">
        <f t="shared" si="1"/>
        <v>600</v>
      </c>
    </row>
    <row r="13" spans="1:14" ht="24" customHeight="1" x14ac:dyDescent="0.25">
      <c r="A13" s="70">
        <v>9</v>
      </c>
      <c r="B13" s="49" t="s">
        <v>99</v>
      </c>
      <c r="C13" s="144"/>
      <c r="D13" s="49" t="s">
        <v>104</v>
      </c>
      <c r="E13" s="49" t="s">
        <v>885</v>
      </c>
      <c r="F13" s="71" t="s">
        <v>469</v>
      </c>
      <c r="G13" s="60">
        <v>40</v>
      </c>
      <c r="H13" s="48"/>
      <c r="I13" s="60">
        <f t="shared" si="0"/>
        <v>40</v>
      </c>
      <c r="J13" s="49">
        <v>8</v>
      </c>
      <c r="K13" s="60">
        <f t="shared" si="1"/>
        <v>320</v>
      </c>
    </row>
    <row r="14" spans="1:14" ht="24" customHeight="1" x14ac:dyDescent="0.25">
      <c r="A14" s="70">
        <v>10</v>
      </c>
      <c r="B14" s="49" t="s">
        <v>99</v>
      </c>
      <c r="C14" s="144"/>
      <c r="D14" s="49" t="s">
        <v>898</v>
      </c>
      <c r="E14" s="49" t="s">
        <v>884</v>
      </c>
      <c r="F14" s="71" t="s">
        <v>389</v>
      </c>
      <c r="G14" s="60">
        <v>4000</v>
      </c>
      <c r="H14" s="48"/>
      <c r="I14" s="60">
        <f t="shared" si="0"/>
        <v>4000</v>
      </c>
      <c r="J14" s="49">
        <v>1</v>
      </c>
      <c r="K14" s="60">
        <f t="shared" si="1"/>
        <v>4000</v>
      </c>
    </row>
    <row r="15" spans="1:14" ht="24" customHeight="1" x14ac:dyDescent="0.25">
      <c r="A15" s="70">
        <v>11</v>
      </c>
      <c r="B15" s="49" t="s">
        <v>99</v>
      </c>
      <c r="C15" s="141"/>
      <c r="D15" s="49" t="s">
        <v>903</v>
      </c>
      <c r="E15" s="49" t="s">
        <v>904</v>
      </c>
      <c r="F15" s="71" t="s">
        <v>720</v>
      </c>
      <c r="G15" s="60">
        <v>100</v>
      </c>
      <c r="H15" s="48"/>
      <c r="I15" s="60">
        <f t="shared" si="0"/>
        <v>100</v>
      </c>
      <c r="J15" s="49">
        <v>4</v>
      </c>
      <c r="K15" s="60">
        <f t="shared" si="1"/>
        <v>400</v>
      </c>
    </row>
    <row r="16" spans="1:14" ht="24" customHeight="1" x14ac:dyDescent="0.25">
      <c r="A16" s="70">
        <v>12</v>
      </c>
      <c r="B16" s="49" t="s">
        <v>99</v>
      </c>
      <c r="C16" s="131" t="s">
        <v>112</v>
      </c>
      <c r="D16" s="49" t="s">
        <v>113</v>
      </c>
      <c r="E16" s="49" t="s">
        <v>114</v>
      </c>
      <c r="F16" s="71" t="s">
        <v>803</v>
      </c>
      <c r="G16" s="60"/>
      <c r="H16" s="48">
        <v>42350</v>
      </c>
      <c r="I16" s="60">
        <f t="shared" si="0"/>
        <v>42350</v>
      </c>
      <c r="J16" s="49">
        <v>1</v>
      </c>
      <c r="K16" s="60">
        <f t="shared" si="1"/>
        <v>42350</v>
      </c>
    </row>
    <row r="17" spans="1:14" ht="24" customHeight="1" x14ac:dyDescent="0.25">
      <c r="A17" s="70">
        <v>13</v>
      </c>
      <c r="B17" s="49" t="s">
        <v>99</v>
      </c>
      <c r="C17" s="131"/>
      <c r="D17" s="49" t="s">
        <v>113</v>
      </c>
      <c r="E17" s="49" t="s">
        <v>115</v>
      </c>
      <c r="F17" s="71" t="s">
        <v>111</v>
      </c>
      <c r="G17" s="60"/>
      <c r="H17" s="72">
        <v>12500</v>
      </c>
      <c r="I17" s="60">
        <f>SUM(G17:H17)</f>
        <v>12500</v>
      </c>
      <c r="J17" s="49">
        <v>1</v>
      </c>
      <c r="K17" s="60">
        <f t="shared" si="1"/>
        <v>12500</v>
      </c>
    </row>
    <row r="18" spans="1:14" ht="24" customHeight="1" x14ac:dyDescent="0.25">
      <c r="A18" s="70">
        <v>14</v>
      </c>
      <c r="B18" s="49" t="s">
        <v>99</v>
      </c>
      <c r="C18" s="131"/>
      <c r="D18" s="49" t="s">
        <v>116</v>
      </c>
      <c r="E18" s="49" t="s">
        <v>116</v>
      </c>
      <c r="F18" s="71" t="s">
        <v>215</v>
      </c>
      <c r="G18" s="60"/>
      <c r="H18" s="72">
        <v>60000</v>
      </c>
      <c r="I18" s="60">
        <f>SUM(G18:H18)</f>
        <v>60000</v>
      </c>
      <c r="J18" s="49">
        <v>1</v>
      </c>
      <c r="K18" s="60">
        <f>I18*J18</f>
        <v>60000</v>
      </c>
    </row>
    <row r="19" spans="1:14" ht="24" customHeight="1" x14ac:dyDescent="0.25">
      <c r="A19" s="70">
        <v>15</v>
      </c>
      <c r="B19" s="49" t="s">
        <v>99</v>
      </c>
      <c r="C19" s="131" t="s">
        <v>117</v>
      </c>
      <c r="D19" s="49" t="s">
        <v>118</v>
      </c>
      <c r="E19" s="49" t="s">
        <v>119</v>
      </c>
      <c r="F19" s="71" t="s">
        <v>120</v>
      </c>
      <c r="G19" s="60">
        <v>10000</v>
      </c>
      <c r="H19" s="48"/>
      <c r="I19" s="60">
        <f t="shared" ref="I19:I22" si="2">SUM(G19:H19)</f>
        <v>10000</v>
      </c>
      <c r="J19" s="49">
        <v>1</v>
      </c>
      <c r="K19" s="60">
        <f t="shared" ref="K19:K22" si="3">I19*J19</f>
        <v>10000</v>
      </c>
    </row>
    <row r="20" spans="1:14" ht="24" customHeight="1" x14ac:dyDescent="0.25">
      <c r="A20" s="70">
        <v>16</v>
      </c>
      <c r="B20" s="49" t="s">
        <v>99</v>
      </c>
      <c r="C20" s="131"/>
      <c r="D20" s="49" t="s">
        <v>118</v>
      </c>
      <c r="E20" s="49" t="s">
        <v>844</v>
      </c>
      <c r="F20" s="71" t="s">
        <v>845</v>
      </c>
      <c r="G20" s="60">
        <v>16532</v>
      </c>
      <c r="H20" s="48"/>
      <c r="I20" s="60">
        <f t="shared" si="2"/>
        <v>16532</v>
      </c>
      <c r="J20" s="49">
        <v>4</v>
      </c>
      <c r="K20" s="60">
        <f>I20*J20</f>
        <v>66128</v>
      </c>
    </row>
    <row r="21" spans="1:14" ht="24" customHeight="1" x14ac:dyDescent="0.25">
      <c r="A21" s="70">
        <v>17</v>
      </c>
      <c r="B21" s="49" t="s">
        <v>99</v>
      </c>
      <c r="C21" s="131"/>
      <c r="D21" s="49" t="s">
        <v>118</v>
      </c>
      <c r="E21" s="79" t="s">
        <v>950</v>
      </c>
      <c r="F21" s="71" t="s">
        <v>469</v>
      </c>
      <c r="G21" s="60">
        <v>50</v>
      </c>
      <c r="H21" s="48"/>
      <c r="I21" s="60">
        <f t="shared" si="2"/>
        <v>50</v>
      </c>
      <c r="J21" s="73">
        <v>4</v>
      </c>
      <c r="K21" s="60">
        <f t="shared" si="3"/>
        <v>200</v>
      </c>
    </row>
    <row r="22" spans="1:14" ht="24" customHeight="1" x14ac:dyDescent="0.25">
      <c r="A22" s="70">
        <v>18</v>
      </c>
      <c r="B22" s="49" t="s">
        <v>99</v>
      </c>
      <c r="C22" s="131"/>
      <c r="D22" s="49" t="s">
        <v>118</v>
      </c>
      <c r="E22" s="49" t="s">
        <v>881</v>
      </c>
      <c r="F22" s="71" t="s">
        <v>469</v>
      </c>
      <c r="G22" s="60">
        <v>40</v>
      </c>
      <c r="H22" s="48"/>
      <c r="I22" s="60">
        <f t="shared" si="2"/>
        <v>40</v>
      </c>
      <c r="J22" s="73">
        <v>4</v>
      </c>
      <c r="K22" s="60">
        <f t="shared" si="3"/>
        <v>160</v>
      </c>
    </row>
    <row r="23" spans="1:14" s="13" customFormat="1" ht="24" customHeight="1" x14ac:dyDescent="0.25">
      <c r="A23" s="62"/>
      <c r="B23" s="21"/>
      <c r="C23" s="63"/>
      <c r="D23" s="39" t="s">
        <v>48</v>
      </c>
      <c r="E23" s="39"/>
      <c r="F23" s="63"/>
      <c r="G23" s="40"/>
      <c r="H23" s="40"/>
      <c r="I23" s="74"/>
      <c r="J23" s="39"/>
      <c r="K23" s="40">
        <f>SUM(K5:K22)</f>
        <v>1359486</v>
      </c>
      <c r="L23" s="56"/>
      <c r="M23" s="56"/>
      <c r="N23" s="56"/>
    </row>
    <row r="24" spans="1:14" ht="24" customHeight="1" x14ac:dyDescent="0.25">
      <c r="A24" s="70">
        <v>1</v>
      </c>
      <c r="B24" s="49" t="s">
        <v>73</v>
      </c>
      <c r="C24" s="131" t="s">
        <v>57</v>
      </c>
      <c r="D24" s="49" t="s">
        <v>2</v>
      </c>
      <c r="E24" s="49" t="s">
        <v>805</v>
      </c>
      <c r="F24" s="49" t="s">
        <v>806</v>
      </c>
      <c r="G24" s="60"/>
      <c r="H24" s="60">
        <v>150000</v>
      </c>
      <c r="I24" s="51">
        <f>SUM(G24:H24)</f>
        <v>150000</v>
      </c>
      <c r="J24" s="111">
        <v>1</v>
      </c>
      <c r="K24" s="60">
        <f>H24*J24</f>
        <v>150000</v>
      </c>
      <c r="L24" s="104"/>
    </row>
    <row r="25" spans="1:14" ht="24" customHeight="1" x14ac:dyDescent="0.25">
      <c r="A25" s="70">
        <v>2</v>
      </c>
      <c r="B25" s="49" t="s">
        <v>73</v>
      </c>
      <c r="C25" s="131"/>
      <c r="D25" s="49" t="s">
        <v>58</v>
      </c>
      <c r="E25" s="49" t="s">
        <v>807</v>
      </c>
      <c r="F25" s="49" t="s">
        <v>806</v>
      </c>
      <c r="G25" s="60"/>
      <c r="H25" s="60">
        <v>70000</v>
      </c>
      <c r="I25" s="51">
        <f t="shared" ref="I25:I33" si="4">SUM(G25:H25)</f>
        <v>70000</v>
      </c>
      <c r="J25" s="111">
        <v>2</v>
      </c>
      <c r="K25" s="60">
        <f t="shared" ref="K25:K82" si="5">I25*J25</f>
        <v>140000</v>
      </c>
      <c r="L25" s="104"/>
      <c r="M25" s="79"/>
    </row>
    <row r="26" spans="1:14" ht="24" customHeight="1" x14ac:dyDescent="0.25">
      <c r="A26" s="70">
        <v>3</v>
      </c>
      <c r="B26" s="49" t="s">
        <v>73</v>
      </c>
      <c r="C26" s="131"/>
      <c r="D26" s="132" t="s">
        <v>83</v>
      </c>
      <c r="E26" s="79" t="s">
        <v>857</v>
      </c>
      <c r="F26" s="112" t="s">
        <v>469</v>
      </c>
      <c r="G26" s="60">
        <v>60</v>
      </c>
      <c r="H26" s="49"/>
      <c r="I26" s="51">
        <f t="shared" si="4"/>
        <v>60</v>
      </c>
      <c r="J26" s="111">
        <v>2</v>
      </c>
      <c r="K26" s="60">
        <f>I26*J26</f>
        <v>120</v>
      </c>
      <c r="L26" s="104"/>
    </row>
    <row r="27" spans="1:14" ht="24" customHeight="1" x14ac:dyDescent="0.25">
      <c r="A27" s="70">
        <v>4</v>
      </c>
      <c r="B27" s="49" t="s">
        <v>73</v>
      </c>
      <c r="C27" s="131"/>
      <c r="D27" s="132"/>
      <c r="E27" s="79" t="s">
        <v>858</v>
      </c>
      <c r="F27" s="112" t="s">
        <v>469</v>
      </c>
      <c r="G27" s="60">
        <v>50</v>
      </c>
      <c r="H27" s="49"/>
      <c r="I27" s="51">
        <f t="shared" si="4"/>
        <v>50</v>
      </c>
      <c r="J27" s="111">
        <v>6</v>
      </c>
      <c r="K27" s="60">
        <f t="shared" si="5"/>
        <v>300</v>
      </c>
      <c r="L27" s="104"/>
    </row>
    <row r="28" spans="1:14" ht="24" customHeight="1" x14ac:dyDescent="0.25">
      <c r="A28" s="70">
        <v>5</v>
      </c>
      <c r="B28" s="49" t="s">
        <v>73</v>
      </c>
      <c r="C28" s="131"/>
      <c r="D28" s="132" t="s">
        <v>52</v>
      </c>
      <c r="E28" s="49" t="s">
        <v>855</v>
      </c>
      <c r="F28" s="112" t="s">
        <v>469</v>
      </c>
      <c r="G28" s="60">
        <v>50</v>
      </c>
      <c r="H28" s="49"/>
      <c r="I28" s="51">
        <f t="shared" si="4"/>
        <v>50</v>
      </c>
      <c r="J28" s="111">
        <v>2</v>
      </c>
      <c r="K28" s="60">
        <f t="shared" si="5"/>
        <v>100</v>
      </c>
      <c r="L28" s="104"/>
    </row>
    <row r="29" spans="1:14" ht="24" customHeight="1" x14ac:dyDescent="0.25">
      <c r="A29" s="70">
        <v>6</v>
      </c>
      <c r="B29" s="49" t="s">
        <v>73</v>
      </c>
      <c r="C29" s="131"/>
      <c r="D29" s="132"/>
      <c r="E29" s="49" t="s">
        <v>886</v>
      </c>
      <c r="F29" s="112" t="s">
        <v>469</v>
      </c>
      <c r="G29" s="60">
        <v>40</v>
      </c>
      <c r="H29" s="49"/>
      <c r="I29" s="51">
        <f t="shared" si="4"/>
        <v>40</v>
      </c>
      <c r="J29" s="111">
        <v>6</v>
      </c>
      <c r="K29" s="60">
        <f t="shared" si="5"/>
        <v>240</v>
      </c>
      <c r="L29" s="104"/>
    </row>
    <row r="30" spans="1:14" ht="24" customHeight="1" x14ac:dyDescent="0.25">
      <c r="A30" s="70">
        <v>7</v>
      </c>
      <c r="B30" s="49" t="s">
        <v>73</v>
      </c>
      <c r="C30" s="131"/>
      <c r="D30" s="49" t="s">
        <v>135</v>
      </c>
      <c r="E30" s="49" t="s">
        <v>133</v>
      </c>
      <c r="F30" s="112" t="s">
        <v>843</v>
      </c>
      <c r="G30" s="61">
        <v>11000</v>
      </c>
      <c r="I30" s="51">
        <f t="shared" si="4"/>
        <v>11000</v>
      </c>
      <c r="J30" s="111">
        <v>4</v>
      </c>
      <c r="K30" s="60">
        <f t="shared" si="5"/>
        <v>44000</v>
      </c>
      <c r="L30" s="104"/>
    </row>
    <row r="31" spans="1:14" ht="24" customHeight="1" x14ac:dyDescent="0.25">
      <c r="A31" s="70">
        <v>8</v>
      </c>
      <c r="B31" s="49" t="s">
        <v>73</v>
      </c>
      <c r="C31" s="131"/>
      <c r="D31" s="132" t="s">
        <v>134</v>
      </c>
      <c r="E31" s="49" t="s">
        <v>808</v>
      </c>
      <c r="F31" s="49" t="s">
        <v>806</v>
      </c>
      <c r="G31" s="112"/>
      <c r="H31" s="60">
        <v>40000</v>
      </c>
      <c r="I31" s="51">
        <f t="shared" si="4"/>
        <v>40000</v>
      </c>
      <c r="J31" s="111">
        <v>2</v>
      </c>
      <c r="K31" s="60">
        <f t="shared" si="5"/>
        <v>80000</v>
      </c>
      <c r="L31" s="104"/>
    </row>
    <row r="32" spans="1:14" ht="23.45" customHeight="1" x14ac:dyDescent="0.25">
      <c r="A32" s="70">
        <v>9</v>
      </c>
      <c r="B32" s="49" t="s">
        <v>73</v>
      </c>
      <c r="C32" s="131"/>
      <c r="D32" s="132"/>
      <c r="E32" s="49" t="s">
        <v>809</v>
      </c>
      <c r="F32" s="49" t="s">
        <v>833</v>
      </c>
      <c r="G32" s="121">
        <v>4500</v>
      </c>
      <c r="H32" s="61"/>
      <c r="I32" s="51">
        <f>SUM(G32:H32)</f>
        <v>4500</v>
      </c>
      <c r="J32" s="111">
        <v>4</v>
      </c>
      <c r="K32" s="60">
        <f t="shared" si="5"/>
        <v>18000</v>
      </c>
      <c r="L32" s="104"/>
    </row>
    <row r="33" spans="1:11" ht="24" customHeight="1" x14ac:dyDescent="0.25">
      <c r="A33" s="70">
        <v>10</v>
      </c>
      <c r="B33" s="49" t="s">
        <v>121</v>
      </c>
      <c r="C33" s="131" t="s">
        <v>136</v>
      </c>
      <c r="D33" s="49" t="s">
        <v>129</v>
      </c>
      <c r="E33" s="49" t="s">
        <v>129</v>
      </c>
      <c r="F33" s="112" t="s">
        <v>108</v>
      </c>
      <c r="G33" s="60"/>
      <c r="H33" s="51">
        <v>40000</v>
      </c>
      <c r="I33" s="51">
        <f t="shared" si="4"/>
        <v>40000</v>
      </c>
      <c r="J33" s="49">
        <v>1</v>
      </c>
      <c r="K33" s="60">
        <f t="shared" si="5"/>
        <v>40000</v>
      </c>
    </row>
    <row r="34" spans="1:11" ht="24" customHeight="1" x14ac:dyDescent="0.25">
      <c r="A34" s="70">
        <v>11</v>
      </c>
      <c r="B34" s="49" t="s">
        <v>121</v>
      </c>
      <c r="C34" s="131"/>
      <c r="D34" s="49" t="s">
        <v>130</v>
      </c>
      <c r="E34" s="49" t="s">
        <v>130</v>
      </c>
      <c r="F34" s="112" t="s">
        <v>215</v>
      </c>
      <c r="G34" s="60"/>
      <c r="H34" s="48">
        <v>60000</v>
      </c>
      <c r="I34" s="60">
        <f>SUM(G34:H34)</f>
        <v>60000</v>
      </c>
      <c r="J34" s="49">
        <v>2</v>
      </c>
      <c r="K34" s="60">
        <f t="shared" si="5"/>
        <v>120000</v>
      </c>
    </row>
    <row r="35" spans="1:11" ht="24" customHeight="1" x14ac:dyDescent="0.25">
      <c r="A35" s="70">
        <v>12</v>
      </c>
      <c r="B35" s="49" t="s">
        <v>121</v>
      </c>
      <c r="C35" s="131"/>
      <c r="D35" s="49" t="s">
        <v>131</v>
      </c>
      <c r="E35" s="79" t="s">
        <v>858</v>
      </c>
      <c r="F35" s="112" t="s">
        <v>469</v>
      </c>
      <c r="G35" s="60">
        <v>50</v>
      </c>
      <c r="H35" s="48"/>
      <c r="I35" s="60">
        <f t="shared" ref="I35:I44" si="6">SUM(G35:H35)</f>
        <v>50</v>
      </c>
      <c r="J35" s="52">
        <v>10</v>
      </c>
      <c r="K35" s="60">
        <f t="shared" si="5"/>
        <v>500</v>
      </c>
    </row>
    <row r="36" spans="1:11" ht="24" customHeight="1" x14ac:dyDescent="0.25">
      <c r="A36" s="70">
        <v>13</v>
      </c>
      <c r="B36" s="49" t="s">
        <v>121</v>
      </c>
      <c r="C36" s="131"/>
      <c r="D36" s="132" t="s">
        <v>132</v>
      </c>
      <c r="E36" s="49" t="s">
        <v>888</v>
      </c>
      <c r="F36" s="112" t="s">
        <v>469</v>
      </c>
      <c r="G36" s="60">
        <v>50</v>
      </c>
      <c r="H36" s="48"/>
      <c r="I36" s="60">
        <f t="shared" si="6"/>
        <v>50</v>
      </c>
      <c r="J36" s="52">
        <v>2</v>
      </c>
      <c r="K36" s="60">
        <f t="shared" si="5"/>
        <v>100</v>
      </c>
    </row>
    <row r="37" spans="1:11" ht="24" customHeight="1" x14ac:dyDescent="0.25">
      <c r="A37" s="70">
        <v>14</v>
      </c>
      <c r="B37" s="49" t="s">
        <v>121</v>
      </c>
      <c r="C37" s="131"/>
      <c r="D37" s="132"/>
      <c r="E37" s="49" t="s">
        <v>881</v>
      </c>
      <c r="F37" s="112" t="s">
        <v>469</v>
      </c>
      <c r="G37" s="60">
        <v>40</v>
      </c>
      <c r="H37" s="48"/>
      <c r="I37" s="60">
        <f t="shared" si="6"/>
        <v>40</v>
      </c>
      <c r="J37" s="52">
        <v>10</v>
      </c>
      <c r="K37" s="60">
        <f t="shared" si="5"/>
        <v>400</v>
      </c>
    </row>
    <row r="38" spans="1:11" ht="24" customHeight="1" x14ac:dyDescent="0.25">
      <c r="A38" s="70">
        <v>15</v>
      </c>
      <c r="B38" s="49" t="s">
        <v>121</v>
      </c>
      <c r="C38" s="131"/>
      <c r="D38" s="49" t="s">
        <v>55</v>
      </c>
      <c r="E38" s="49" t="s">
        <v>133</v>
      </c>
      <c r="F38" s="112" t="s">
        <v>843</v>
      </c>
      <c r="G38" s="60">
        <v>11000</v>
      </c>
      <c r="H38" s="48"/>
      <c r="I38" s="60">
        <f t="shared" si="6"/>
        <v>11000</v>
      </c>
      <c r="J38" s="49">
        <v>4</v>
      </c>
      <c r="K38" s="60">
        <f t="shared" si="5"/>
        <v>44000</v>
      </c>
    </row>
    <row r="39" spans="1:11" ht="24" customHeight="1" x14ac:dyDescent="0.25">
      <c r="A39" s="70">
        <v>16</v>
      </c>
      <c r="B39" s="49" t="s">
        <v>121</v>
      </c>
      <c r="C39" s="131"/>
      <c r="D39" s="49" t="s">
        <v>137</v>
      </c>
      <c r="E39" s="49" t="s">
        <v>804</v>
      </c>
      <c r="F39" s="112" t="s">
        <v>109</v>
      </c>
      <c r="G39" s="60">
        <v>15450</v>
      </c>
      <c r="H39" s="48"/>
      <c r="I39" s="60">
        <f t="shared" si="6"/>
        <v>15450</v>
      </c>
      <c r="J39" s="49">
        <v>2</v>
      </c>
      <c r="K39" s="60">
        <f t="shared" si="5"/>
        <v>30900</v>
      </c>
    </row>
    <row r="40" spans="1:11" ht="24" customHeight="1" x14ac:dyDescent="0.25">
      <c r="A40" s="70">
        <v>17</v>
      </c>
      <c r="B40" s="49" t="s">
        <v>121</v>
      </c>
      <c r="C40" s="131" t="s">
        <v>138</v>
      </c>
      <c r="D40" s="49" t="s">
        <v>139</v>
      </c>
      <c r="E40" s="113" t="s">
        <v>810</v>
      </c>
      <c r="F40" s="112" t="s">
        <v>811</v>
      </c>
      <c r="G40" s="60">
        <v>86887</v>
      </c>
      <c r="H40" s="48"/>
      <c r="I40" s="60">
        <f t="shared" si="6"/>
        <v>86887</v>
      </c>
      <c r="J40" s="49">
        <v>4</v>
      </c>
      <c r="K40" s="60">
        <f t="shared" si="5"/>
        <v>347548</v>
      </c>
    </row>
    <row r="41" spans="1:11" ht="24" customHeight="1" x14ac:dyDescent="0.25">
      <c r="A41" s="70">
        <v>18</v>
      </c>
      <c r="B41" s="49" t="s">
        <v>121</v>
      </c>
      <c r="C41" s="131"/>
      <c r="D41" s="49" t="s">
        <v>141</v>
      </c>
      <c r="E41" s="49" t="s">
        <v>812</v>
      </c>
      <c r="F41" s="112" t="s">
        <v>140</v>
      </c>
      <c r="G41" s="60">
        <f>975000</f>
        <v>975000</v>
      </c>
      <c r="H41" s="48"/>
      <c r="I41" s="60">
        <f t="shared" si="6"/>
        <v>975000</v>
      </c>
      <c r="J41" s="49">
        <v>4</v>
      </c>
      <c r="K41" s="60">
        <f t="shared" si="5"/>
        <v>3900000</v>
      </c>
    </row>
    <row r="42" spans="1:11" ht="24" customHeight="1" x14ac:dyDescent="0.25">
      <c r="A42" s="70">
        <v>19</v>
      </c>
      <c r="B42" s="49" t="s">
        <v>121</v>
      </c>
      <c r="C42" s="131"/>
      <c r="D42" s="49" t="s">
        <v>131</v>
      </c>
      <c r="E42" s="79" t="s">
        <v>859</v>
      </c>
      <c r="F42" s="112" t="s">
        <v>469</v>
      </c>
      <c r="G42" s="60">
        <v>60</v>
      </c>
      <c r="H42" s="48"/>
      <c r="I42" s="60">
        <f t="shared" si="6"/>
        <v>60</v>
      </c>
      <c r="J42" s="49">
        <v>4</v>
      </c>
      <c r="K42" s="60">
        <f t="shared" si="5"/>
        <v>240</v>
      </c>
    </row>
    <row r="43" spans="1:11" ht="24" customHeight="1" x14ac:dyDescent="0.25">
      <c r="A43" s="70">
        <v>20</v>
      </c>
      <c r="B43" s="49" t="s">
        <v>121</v>
      </c>
      <c r="C43" s="131"/>
      <c r="D43" s="49" t="s">
        <v>132</v>
      </c>
      <c r="E43" s="49" t="s">
        <v>855</v>
      </c>
      <c r="F43" s="112" t="s">
        <v>469</v>
      </c>
      <c r="G43" s="60">
        <v>50</v>
      </c>
      <c r="H43" s="48"/>
      <c r="I43" s="60">
        <f t="shared" si="6"/>
        <v>50</v>
      </c>
      <c r="J43" s="49">
        <v>4</v>
      </c>
      <c r="K43" s="60">
        <f t="shared" si="5"/>
        <v>200</v>
      </c>
    </row>
    <row r="44" spans="1:11" ht="24" customHeight="1" x14ac:dyDescent="0.25">
      <c r="A44" s="70">
        <v>21</v>
      </c>
      <c r="B44" s="49" t="s">
        <v>121</v>
      </c>
      <c r="C44" s="131"/>
      <c r="D44" s="49" t="s">
        <v>142</v>
      </c>
      <c r="E44" s="49" t="s">
        <v>143</v>
      </c>
      <c r="F44" s="112" t="s">
        <v>218</v>
      </c>
      <c r="G44" s="60">
        <v>70</v>
      </c>
      <c r="H44" s="48"/>
      <c r="I44" s="60">
        <f t="shared" si="6"/>
        <v>70</v>
      </c>
      <c r="J44" s="49">
        <v>16</v>
      </c>
      <c r="K44" s="60">
        <f t="shared" si="5"/>
        <v>1120</v>
      </c>
    </row>
    <row r="45" spans="1:11" ht="24" customHeight="1" x14ac:dyDescent="0.3">
      <c r="A45" s="70">
        <v>22</v>
      </c>
      <c r="B45" s="49" t="s">
        <v>121</v>
      </c>
      <c r="C45" s="131" t="s">
        <v>144</v>
      </c>
      <c r="D45" s="132" t="s">
        <v>145</v>
      </c>
      <c r="E45" s="49" t="s">
        <v>146</v>
      </c>
      <c r="F45" s="112" t="s">
        <v>806</v>
      </c>
      <c r="G45" s="106"/>
      <c r="H45" s="48">
        <v>4500</v>
      </c>
      <c r="I45" s="60">
        <f>SUM(G45:H45)</f>
        <v>4500</v>
      </c>
      <c r="J45" s="49">
        <v>4</v>
      </c>
      <c r="K45" s="60">
        <f t="shared" si="5"/>
        <v>18000</v>
      </c>
    </row>
    <row r="46" spans="1:11" ht="24" customHeight="1" x14ac:dyDescent="0.3">
      <c r="A46" s="70">
        <v>23</v>
      </c>
      <c r="B46" s="49" t="s">
        <v>121</v>
      </c>
      <c r="C46" s="131"/>
      <c r="D46" s="132"/>
      <c r="E46" s="49" t="s">
        <v>147</v>
      </c>
      <c r="F46" s="112" t="s">
        <v>806</v>
      </c>
      <c r="G46" s="106"/>
      <c r="H46" s="48">
        <v>4500</v>
      </c>
      <c r="I46" s="60">
        <f t="shared" ref="I46:I82" si="7">SUM(G46:H46)</f>
        <v>4500</v>
      </c>
      <c r="J46" s="49">
        <v>4</v>
      </c>
      <c r="K46" s="60">
        <f t="shared" si="5"/>
        <v>18000</v>
      </c>
    </row>
    <row r="47" spans="1:11" ht="24" customHeight="1" x14ac:dyDescent="0.25">
      <c r="A47" s="70">
        <v>24</v>
      </c>
      <c r="B47" s="49" t="s">
        <v>121</v>
      </c>
      <c r="C47" s="131"/>
      <c r="D47" s="49" t="s">
        <v>148</v>
      </c>
      <c r="E47" s="49" t="s">
        <v>809</v>
      </c>
      <c r="F47" s="112" t="s">
        <v>109</v>
      </c>
      <c r="G47" s="60"/>
      <c r="H47" s="48">
        <v>4500</v>
      </c>
      <c r="I47" s="60">
        <f t="shared" si="7"/>
        <v>4500</v>
      </c>
      <c r="J47" s="49">
        <v>8</v>
      </c>
      <c r="K47" s="60">
        <f t="shared" si="5"/>
        <v>36000</v>
      </c>
    </row>
    <row r="48" spans="1:11" ht="24" customHeight="1" x14ac:dyDescent="0.25">
      <c r="A48" s="70">
        <v>25</v>
      </c>
      <c r="B48" s="49" t="s">
        <v>121</v>
      </c>
      <c r="C48" s="131"/>
      <c r="D48" s="49" t="s">
        <v>149</v>
      </c>
      <c r="E48" s="49" t="s">
        <v>150</v>
      </c>
      <c r="F48" s="112" t="s">
        <v>102</v>
      </c>
      <c r="G48" s="60"/>
      <c r="H48" s="48">
        <v>900</v>
      </c>
      <c r="I48" s="60">
        <f t="shared" si="7"/>
        <v>900</v>
      </c>
      <c r="J48" s="49">
        <v>8</v>
      </c>
      <c r="K48" s="60">
        <f t="shared" si="5"/>
        <v>7200</v>
      </c>
    </row>
    <row r="49" spans="1:11" ht="24" customHeight="1" x14ac:dyDescent="0.25">
      <c r="A49" s="70">
        <v>26</v>
      </c>
      <c r="B49" s="49" t="s">
        <v>121</v>
      </c>
      <c r="C49" s="131"/>
      <c r="D49" s="49" t="s">
        <v>142</v>
      </c>
      <c r="E49" s="49" t="s">
        <v>151</v>
      </c>
      <c r="F49" s="112" t="s">
        <v>218</v>
      </c>
      <c r="G49" s="60">
        <v>100</v>
      </c>
      <c r="H49" s="48"/>
      <c r="I49" s="60">
        <f t="shared" si="7"/>
        <v>100</v>
      </c>
      <c r="J49" s="49">
        <v>12</v>
      </c>
      <c r="K49" s="60">
        <f t="shared" si="5"/>
        <v>1200</v>
      </c>
    </row>
    <row r="50" spans="1:11" ht="24" customHeight="1" x14ac:dyDescent="0.25">
      <c r="A50" s="70">
        <v>27</v>
      </c>
      <c r="B50" s="49" t="s">
        <v>121</v>
      </c>
      <c r="C50" s="131"/>
      <c r="D50" s="132" t="s">
        <v>152</v>
      </c>
      <c r="E50" s="79" t="s">
        <v>860</v>
      </c>
      <c r="F50" s="112" t="s">
        <v>469</v>
      </c>
      <c r="G50" s="60">
        <v>50</v>
      </c>
      <c r="H50" s="48"/>
      <c r="I50" s="60">
        <f t="shared" si="7"/>
        <v>50</v>
      </c>
      <c r="J50" s="49">
        <v>4</v>
      </c>
      <c r="K50" s="60">
        <f t="shared" si="5"/>
        <v>200</v>
      </c>
    </row>
    <row r="51" spans="1:11" ht="24" customHeight="1" x14ac:dyDescent="0.25">
      <c r="A51" s="70">
        <v>28</v>
      </c>
      <c r="B51" s="49" t="s">
        <v>121</v>
      </c>
      <c r="C51" s="131"/>
      <c r="D51" s="132"/>
      <c r="E51" s="79" t="s">
        <v>861</v>
      </c>
      <c r="F51" s="112" t="s">
        <v>469</v>
      </c>
      <c r="G51" s="60">
        <v>60</v>
      </c>
      <c r="H51" s="48"/>
      <c r="I51" s="60">
        <f t="shared" si="7"/>
        <v>60</v>
      </c>
      <c r="J51" s="49">
        <v>12</v>
      </c>
      <c r="K51" s="60">
        <f t="shared" si="5"/>
        <v>720</v>
      </c>
    </row>
    <row r="52" spans="1:11" ht="24" customHeight="1" x14ac:dyDescent="0.25">
      <c r="A52" s="70">
        <v>29</v>
      </c>
      <c r="B52" s="49" t="s">
        <v>121</v>
      </c>
      <c r="C52" s="131"/>
      <c r="D52" s="132" t="s">
        <v>153</v>
      </c>
      <c r="E52" s="49" t="s">
        <v>881</v>
      </c>
      <c r="F52" s="112" t="s">
        <v>469</v>
      </c>
      <c r="G52" s="60">
        <v>40</v>
      </c>
      <c r="H52" s="48"/>
      <c r="I52" s="60">
        <f t="shared" si="7"/>
        <v>40</v>
      </c>
      <c r="J52" s="49">
        <v>4</v>
      </c>
      <c r="K52" s="60">
        <f t="shared" si="5"/>
        <v>160</v>
      </c>
    </row>
    <row r="53" spans="1:11" ht="24" customHeight="1" x14ac:dyDescent="0.25">
      <c r="A53" s="70">
        <v>30</v>
      </c>
      <c r="B53" s="49" t="s">
        <v>121</v>
      </c>
      <c r="C53" s="131"/>
      <c r="D53" s="132"/>
      <c r="E53" s="49" t="s">
        <v>855</v>
      </c>
      <c r="F53" s="112" t="s">
        <v>469</v>
      </c>
      <c r="G53" s="60">
        <v>50</v>
      </c>
      <c r="H53" s="48"/>
      <c r="I53" s="60">
        <f t="shared" si="7"/>
        <v>50</v>
      </c>
      <c r="J53" s="49">
        <v>12</v>
      </c>
      <c r="K53" s="60">
        <f t="shared" si="5"/>
        <v>600</v>
      </c>
    </row>
    <row r="54" spans="1:11" ht="24" customHeight="1" x14ac:dyDescent="0.25">
      <c r="A54" s="70">
        <v>31</v>
      </c>
      <c r="B54" s="49" t="s">
        <v>121</v>
      </c>
      <c r="C54" s="131" t="s">
        <v>154</v>
      </c>
      <c r="D54" s="132" t="s">
        <v>155</v>
      </c>
      <c r="E54" s="49" t="s">
        <v>844</v>
      </c>
      <c r="F54" s="112" t="s">
        <v>845</v>
      </c>
      <c r="G54" s="60">
        <v>16532</v>
      </c>
      <c r="H54" s="48"/>
      <c r="I54" s="60">
        <f t="shared" si="7"/>
        <v>16532</v>
      </c>
      <c r="J54" s="49">
        <v>4</v>
      </c>
      <c r="K54" s="60">
        <f t="shared" si="5"/>
        <v>66128</v>
      </c>
    </row>
    <row r="55" spans="1:11" ht="24" customHeight="1" x14ac:dyDescent="0.25">
      <c r="A55" s="70">
        <v>32</v>
      </c>
      <c r="B55" s="49" t="s">
        <v>121</v>
      </c>
      <c r="C55" s="131"/>
      <c r="D55" s="132"/>
      <c r="E55" s="49" t="s">
        <v>156</v>
      </c>
      <c r="F55" s="112" t="s">
        <v>120</v>
      </c>
      <c r="G55" s="60">
        <v>600</v>
      </c>
      <c r="H55" s="48"/>
      <c r="I55" s="60">
        <f t="shared" si="7"/>
        <v>600</v>
      </c>
      <c r="J55" s="49">
        <v>2</v>
      </c>
      <c r="K55" s="60">
        <f t="shared" si="5"/>
        <v>1200</v>
      </c>
    </row>
    <row r="56" spans="1:11" ht="24" customHeight="1" x14ac:dyDescent="0.25">
      <c r="A56" s="70">
        <v>33</v>
      </c>
      <c r="B56" s="49" t="s">
        <v>121</v>
      </c>
      <c r="C56" s="131"/>
      <c r="D56" s="132"/>
      <c r="E56" s="79" t="s">
        <v>858</v>
      </c>
      <c r="F56" s="112" t="s">
        <v>469</v>
      </c>
      <c r="G56" s="60">
        <v>50</v>
      </c>
      <c r="H56" s="48"/>
      <c r="I56" s="60">
        <f t="shared" si="7"/>
        <v>50</v>
      </c>
      <c r="J56" s="49">
        <v>2</v>
      </c>
      <c r="K56" s="60">
        <f t="shared" si="5"/>
        <v>100</v>
      </c>
    </row>
    <row r="57" spans="1:11" ht="24" customHeight="1" x14ac:dyDescent="0.25">
      <c r="A57" s="70">
        <v>34</v>
      </c>
      <c r="B57" s="49" t="s">
        <v>121</v>
      </c>
      <c r="C57" s="131"/>
      <c r="D57" s="132"/>
      <c r="E57" s="49" t="s">
        <v>881</v>
      </c>
      <c r="F57" s="112" t="s">
        <v>469</v>
      </c>
      <c r="G57" s="60">
        <v>40</v>
      </c>
      <c r="H57" s="48"/>
      <c r="I57" s="60">
        <f t="shared" si="7"/>
        <v>40</v>
      </c>
      <c r="J57" s="49">
        <v>2</v>
      </c>
      <c r="K57" s="60">
        <f t="shared" si="5"/>
        <v>80</v>
      </c>
    </row>
    <row r="58" spans="1:11" ht="24" customHeight="1" x14ac:dyDescent="0.25">
      <c r="A58" s="70">
        <v>35</v>
      </c>
      <c r="B58" s="49" t="s">
        <v>121</v>
      </c>
      <c r="C58" s="131"/>
      <c r="D58" s="132"/>
      <c r="E58" s="49" t="s">
        <v>142</v>
      </c>
      <c r="F58" s="112" t="s">
        <v>218</v>
      </c>
      <c r="G58" s="60">
        <v>80</v>
      </c>
      <c r="H58" s="48"/>
      <c r="I58" s="60">
        <f t="shared" si="7"/>
        <v>80</v>
      </c>
      <c r="J58" s="49">
        <v>8</v>
      </c>
      <c r="K58" s="60">
        <f t="shared" si="5"/>
        <v>640</v>
      </c>
    </row>
    <row r="59" spans="1:11" ht="24" customHeight="1" x14ac:dyDescent="0.25">
      <c r="A59" s="70">
        <v>36</v>
      </c>
      <c r="B59" s="49" t="s">
        <v>121</v>
      </c>
      <c r="C59" s="131"/>
      <c r="D59" s="132" t="s">
        <v>157</v>
      </c>
      <c r="E59" s="49" t="s">
        <v>844</v>
      </c>
      <c r="F59" s="112" t="s">
        <v>845</v>
      </c>
      <c r="G59" s="60">
        <v>16532</v>
      </c>
      <c r="H59" s="48"/>
      <c r="I59" s="60">
        <f t="shared" si="7"/>
        <v>16532</v>
      </c>
      <c r="J59" s="49">
        <v>4</v>
      </c>
      <c r="K59" s="60">
        <f t="shared" si="5"/>
        <v>66128</v>
      </c>
    </row>
    <row r="60" spans="1:11" ht="24" customHeight="1" x14ac:dyDescent="0.25">
      <c r="A60" s="70">
        <v>37</v>
      </c>
      <c r="B60" s="49" t="s">
        <v>121</v>
      </c>
      <c r="C60" s="131"/>
      <c r="D60" s="132"/>
      <c r="E60" s="49" t="s">
        <v>156</v>
      </c>
      <c r="F60" s="112" t="s">
        <v>120</v>
      </c>
      <c r="G60" s="60">
        <v>1000</v>
      </c>
      <c r="H60" s="48"/>
      <c r="I60" s="60">
        <f t="shared" si="7"/>
        <v>1000</v>
      </c>
      <c r="J60" s="49">
        <v>2</v>
      </c>
      <c r="K60" s="60">
        <f t="shared" si="5"/>
        <v>2000</v>
      </c>
    </row>
    <row r="61" spans="1:11" ht="24" customHeight="1" x14ac:dyDescent="0.25">
      <c r="A61" s="70">
        <v>38</v>
      </c>
      <c r="B61" s="49" t="s">
        <v>121</v>
      </c>
      <c r="C61" s="131"/>
      <c r="D61" s="132"/>
      <c r="E61" s="79" t="s">
        <v>858</v>
      </c>
      <c r="F61" s="112" t="s">
        <v>469</v>
      </c>
      <c r="G61" s="60">
        <v>50</v>
      </c>
      <c r="H61" s="48"/>
      <c r="I61" s="60">
        <f t="shared" si="7"/>
        <v>50</v>
      </c>
      <c r="J61" s="49">
        <v>2</v>
      </c>
      <c r="K61" s="60">
        <f t="shared" si="5"/>
        <v>100</v>
      </c>
    </row>
    <row r="62" spans="1:11" ht="24" customHeight="1" x14ac:dyDescent="0.25">
      <c r="A62" s="70">
        <v>39</v>
      </c>
      <c r="B62" s="49" t="s">
        <v>121</v>
      </c>
      <c r="C62" s="131"/>
      <c r="D62" s="132"/>
      <c r="E62" s="49" t="s">
        <v>881</v>
      </c>
      <c r="F62" s="112" t="s">
        <v>469</v>
      </c>
      <c r="G62" s="60">
        <v>40</v>
      </c>
      <c r="H62" s="48"/>
      <c r="I62" s="60">
        <f t="shared" si="7"/>
        <v>40</v>
      </c>
      <c r="J62" s="49">
        <v>2</v>
      </c>
      <c r="K62" s="60">
        <f t="shared" si="5"/>
        <v>80</v>
      </c>
    </row>
    <row r="63" spans="1:11" ht="24" customHeight="1" x14ac:dyDescent="0.25">
      <c r="A63" s="70">
        <v>40</v>
      </c>
      <c r="B63" s="49" t="s">
        <v>121</v>
      </c>
      <c r="C63" s="131"/>
      <c r="D63" s="132"/>
      <c r="E63" s="49" t="s">
        <v>142</v>
      </c>
      <c r="F63" s="112" t="s">
        <v>218</v>
      </c>
      <c r="G63" s="60">
        <v>80</v>
      </c>
      <c r="H63" s="48"/>
      <c r="I63" s="60">
        <f t="shared" si="7"/>
        <v>80</v>
      </c>
      <c r="J63" s="49">
        <v>8</v>
      </c>
      <c r="K63" s="60">
        <f t="shared" si="5"/>
        <v>640</v>
      </c>
    </row>
    <row r="64" spans="1:11" ht="24" customHeight="1" x14ac:dyDescent="0.25">
      <c r="A64" s="70">
        <v>41</v>
      </c>
      <c r="B64" s="49" t="s">
        <v>121</v>
      </c>
      <c r="C64" s="131" t="s">
        <v>158</v>
      </c>
      <c r="D64" s="132" t="s">
        <v>159</v>
      </c>
      <c r="E64" s="49" t="s">
        <v>160</v>
      </c>
      <c r="F64" s="112" t="s">
        <v>813</v>
      </c>
      <c r="G64" s="60">
        <v>29000</v>
      </c>
      <c r="H64" s="48">
        <v>495000</v>
      </c>
      <c r="I64" s="60">
        <f t="shared" si="7"/>
        <v>524000</v>
      </c>
      <c r="J64" s="49">
        <v>2</v>
      </c>
      <c r="K64" s="60">
        <f t="shared" si="5"/>
        <v>1048000</v>
      </c>
    </row>
    <row r="65" spans="1:11" ht="24" customHeight="1" x14ac:dyDescent="0.25">
      <c r="A65" s="70">
        <v>42</v>
      </c>
      <c r="B65" s="49" t="s">
        <v>121</v>
      </c>
      <c r="C65" s="131"/>
      <c r="D65" s="132"/>
      <c r="E65" s="49" t="s">
        <v>161</v>
      </c>
      <c r="F65" s="112" t="s">
        <v>813</v>
      </c>
      <c r="G65" s="60">
        <v>30000</v>
      </c>
      <c r="H65" s="48">
        <v>475000</v>
      </c>
      <c r="I65" s="60">
        <f t="shared" si="7"/>
        <v>505000</v>
      </c>
      <c r="J65" s="49">
        <v>2</v>
      </c>
      <c r="K65" s="60">
        <f t="shared" si="5"/>
        <v>1010000</v>
      </c>
    </row>
    <row r="66" spans="1:11" ht="24" customHeight="1" x14ac:dyDescent="0.25">
      <c r="A66" s="70">
        <v>43</v>
      </c>
      <c r="B66" s="49" t="s">
        <v>121</v>
      </c>
      <c r="C66" s="131"/>
      <c r="D66" s="49" t="s">
        <v>142</v>
      </c>
      <c r="E66" s="49" t="s">
        <v>162</v>
      </c>
      <c r="F66" s="112" t="s">
        <v>218</v>
      </c>
      <c r="G66" s="60">
        <v>90</v>
      </c>
      <c r="H66" s="48"/>
      <c r="I66" s="60">
        <f t="shared" si="7"/>
        <v>90</v>
      </c>
      <c r="J66" s="49">
        <v>24</v>
      </c>
      <c r="K66" s="60">
        <f t="shared" si="5"/>
        <v>2160</v>
      </c>
    </row>
    <row r="67" spans="1:11" ht="24" customHeight="1" x14ac:dyDescent="0.25">
      <c r="A67" s="70">
        <v>44</v>
      </c>
      <c r="B67" s="49" t="s">
        <v>121</v>
      </c>
      <c r="C67" s="131"/>
      <c r="D67" s="132" t="s">
        <v>163</v>
      </c>
      <c r="E67" s="49" t="s">
        <v>814</v>
      </c>
      <c r="F67" s="112" t="s">
        <v>109</v>
      </c>
      <c r="G67" s="60">
        <v>11200</v>
      </c>
      <c r="H67" s="48"/>
      <c r="I67" s="60">
        <f t="shared" si="7"/>
        <v>11200</v>
      </c>
      <c r="J67" s="49">
        <v>4</v>
      </c>
      <c r="K67" s="60">
        <f t="shared" si="5"/>
        <v>44800</v>
      </c>
    </row>
    <row r="68" spans="1:11" ht="24" customHeight="1" x14ac:dyDescent="0.25">
      <c r="A68" s="70">
        <v>45</v>
      </c>
      <c r="B68" s="49" t="s">
        <v>121</v>
      </c>
      <c r="C68" s="131"/>
      <c r="D68" s="132"/>
      <c r="E68" s="49" t="s">
        <v>164</v>
      </c>
      <c r="F68" s="112" t="s">
        <v>109</v>
      </c>
      <c r="G68" s="60">
        <v>12000</v>
      </c>
      <c r="H68" s="48"/>
      <c r="I68" s="60">
        <f t="shared" si="7"/>
        <v>12000</v>
      </c>
      <c r="J68" s="49">
        <v>4</v>
      </c>
      <c r="K68" s="60">
        <f t="shared" si="5"/>
        <v>48000</v>
      </c>
    </row>
    <row r="69" spans="1:11" ht="24" customHeight="1" x14ac:dyDescent="0.25">
      <c r="A69" s="70">
        <v>46</v>
      </c>
      <c r="B69" s="49" t="s">
        <v>121</v>
      </c>
      <c r="C69" s="131"/>
      <c r="D69" s="49" t="s">
        <v>152</v>
      </c>
      <c r="E69" s="79" t="s">
        <v>862</v>
      </c>
      <c r="F69" s="112" t="s">
        <v>469</v>
      </c>
      <c r="G69" s="60">
        <v>50</v>
      </c>
      <c r="H69" s="48"/>
      <c r="I69" s="60">
        <f t="shared" si="7"/>
        <v>50</v>
      </c>
      <c r="J69" s="49">
        <v>18</v>
      </c>
      <c r="K69" s="60">
        <f t="shared" si="5"/>
        <v>900</v>
      </c>
    </row>
    <row r="70" spans="1:11" ht="24" customHeight="1" x14ac:dyDescent="0.25">
      <c r="A70" s="70">
        <v>47</v>
      </c>
      <c r="B70" s="49" t="s">
        <v>121</v>
      </c>
      <c r="C70" s="131" t="s">
        <v>122</v>
      </c>
      <c r="D70" s="132" t="s">
        <v>123</v>
      </c>
      <c r="E70" s="49" t="s">
        <v>124</v>
      </c>
      <c r="F70" s="112" t="s">
        <v>813</v>
      </c>
      <c r="G70" s="60">
        <v>29000</v>
      </c>
      <c r="H70" s="48">
        <v>225000</v>
      </c>
      <c r="I70" s="60">
        <f t="shared" si="7"/>
        <v>254000</v>
      </c>
      <c r="J70" s="49">
        <v>2</v>
      </c>
      <c r="K70" s="60">
        <f t="shared" si="5"/>
        <v>508000</v>
      </c>
    </row>
    <row r="71" spans="1:11" ht="24" customHeight="1" x14ac:dyDescent="0.25">
      <c r="A71" s="70">
        <v>48</v>
      </c>
      <c r="B71" s="49" t="s">
        <v>121</v>
      </c>
      <c r="C71" s="131"/>
      <c r="D71" s="132"/>
      <c r="E71" s="49" t="s">
        <v>125</v>
      </c>
      <c r="F71" s="112" t="s">
        <v>813</v>
      </c>
      <c r="G71" s="60">
        <v>32000</v>
      </c>
      <c r="H71" s="48">
        <v>225000</v>
      </c>
      <c r="I71" s="60">
        <f t="shared" si="7"/>
        <v>257000</v>
      </c>
      <c r="J71" s="49">
        <v>2</v>
      </c>
      <c r="K71" s="60">
        <f t="shared" si="5"/>
        <v>514000</v>
      </c>
    </row>
    <row r="72" spans="1:11" ht="24" customHeight="1" x14ac:dyDescent="0.25">
      <c r="A72" s="70">
        <v>49</v>
      </c>
      <c r="B72" s="49" t="s">
        <v>121</v>
      </c>
      <c r="C72" s="131"/>
      <c r="D72" s="132"/>
      <c r="E72" s="49" t="s">
        <v>126</v>
      </c>
      <c r="F72" s="112" t="s">
        <v>127</v>
      </c>
      <c r="G72" s="60">
        <v>3000</v>
      </c>
      <c r="H72" s="48"/>
      <c r="I72" s="60">
        <f t="shared" si="7"/>
        <v>3000</v>
      </c>
      <c r="J72" s="49">
        <v>4</v>
      </c>
      <c r="K72" s="60">
        <f t="shared" si="5"/>
        <v>12000</v>
      </c>
    </row>
    <row r="73" spans="1:11" ht="24" customHeight="1" x14ac:dyDescent="0.25">
      <c r="A73" s="70">
        <v>50</v>
      </c>
      <c r="B73" s="49" t="s">
        <v>121</v>
      </c>
      <c r="C73" s="131"/>
      <c r="D73" s="132"/>
      <c r="E73" s="49" t="s">
        <v>815</v>
      </c>
      <c r="F73" s="112" t="s">
        <v>127</v>
      </c>
      <c r="G73" s="60">
        <v>4500</v>
      </c>
      <c r="H73" s="48"/>
      <c r="I73" s="60">
        <f>SUM(G73:H73)</f>
        <v>4500</v>
      </c>
      <c r="J73" s="49">
        <v>2</v>
      </c>
      <c r="K73" s="60">
        <f t="shared" si="5"/>
        <v>9000</v>
      </c>
    </row>
    <row r="74" spans="1:11" ht="24" customHeight="1" x14ac:dyDescent="0.25">
      <c r="A74" s="70">
        <v>51</v>
      </c>
      <c r="B74" s="49" t="s">
        <v>121</v>
      </c>
      <c r="C74" s="131"/>
      <c r="D74" s="132"/>
      <c r="E74" s="49" t="s">
        <v>128</v>
      </c>
      <c r="F74" s="112" t="s">
        <v>127</v>
      </c>
      <c r="G74" s="60">
        <v>800</v>
      </c>
      <c r="H74" s="48"/>
      <c r="I74" s="60">
        <f t="shared" si="7"/>
        <v>800</v>
      </c>
      <c r="J74" s="49">
        <v>2</v>
      </c>
      <c r="K74" s="60">
        <f t="shared" si="5"/>
        <v>1600</v>
      </c>
    </row>
    <row r="75" spans="1:11" ht="24" customHeight="1" x14ac:dyDescent="0.25">
      <c r="A75" s="70">
        <v>52</v>
      </c>
      <c r="B75" s="49" t="s">
        <v>121</v>
      </c>
      <c r="C75" s="131" t="s">
        <v>165</v>
      </c>
      <c r="D75" s="49" t="s">
        <v>166</v>
      </c>
      <c r="E75" s="49" t="s">
        <v>167</v>
      </c>
      <c r="F75" s="112" t="s">
        <v>120</v>
      </c>
      <c r="G75" s="60">
        <v>1000</v>
      </c>
      <c r="H75" s="48"/>
      <c r="I75" s="60">
        <f t="shared" si="7"/>
        <v>1000</v>
      </c>
      <c r="J75" s="49">
        <v>16</v>
      </c>
      <c r="K75" s="60">
        <f t="shared" si="5"/>
        <v>16000</v>
      </c>
    </row>
    <row r="76" spans="1:11" ht="24" customHeight="1" x14ac:dyDescent="0.25">
      <c r="A76" s="70">
        <v>53</v>
      </c>
      <c r="B76" s="49" t="s">
        <v>121</v>
      </c>
      <c r="C76" s="131"/>
      <c r="D76" s="49" t="s">
        <v>145</v>
      </c>
      <c r="E76" s="49" t="s">
        <v>816</v>
      </c>
      <c r="F76" s="112" t="s">
        <v>806</v>
      </c>
      <c r="G76" s="60"/>
      <c r="H76" s="48">
        <v>4500</v>
      </c>
      <c r="I76" s="60">
        <f t="shared" si="7"/>
        <v>4500</v>
      </c>
      <c r="J76" s="49">
        <v>16</v>
      </c>
      <c r="K76" s="60">
        <f t="shared" si="5"/>
        <v>72000</v>
      </c>
    </row>
    <row r="77" spans="1:11" ht="24" customHeight="1" x14ac:dyDescent="0.25">
      <c r="A77" s="70">
        <v>54</v>
      </c>
      <c r="B77" s="49" t="s">
        <v>847</v>
      </c>
      <c r="C77" s="131"/>
      <c r="D77" s="49" t="s">
        <v>163</v>
      </c>
      <c r="E77" s="49" t="s">
        <v>844</v>
      </c>
      <c r="F77" s="112" t="s">
        <v>845</v>
      </c>
      <c r="G77" s="60">
        <v>16532</v>
      </c>
      <c r="H77" s="48"/>
      <c r="I77" s="60">
        <f>SUM(G77:H77)</f>
        <v>16532</v>
      </c>
      <c r="J77" s="49">
        <v>16</v>
      </c>
      <c r="K77" s="60">
        <f>I77*J77</f>
        <v>264512</v>
      </c>
    </row>
    <row r="78" spans="1:11" ht="24" customHeight="1" x14ac:dyDescent="0.25">
      <c r="A78" s="70">
        <v>55</v>
      </c>
      <c r="B78" s="49" t="s">
        <v>121</v>
      </c>
      <c r="C78" s="131"/>
      <c r="D78" s="49" t="s">
        <v>163</v>
      </c>
      <c r="E78" s="49" t="s">
        <v>846</v>
      </c>
      <c r="F78" s="112" t="s">
        <v>845</v>
      </c>
      <c r="G78" s="60">
        <v>15700</v>
      </c>
      <c r="H78" s="48"/>
      <c r="I78" s="60">
        <f t="shared" si="7"/>
        <v>15700</v>
      </c>
      <c r="J78" s="49">
        <v>8</v>
      </c>
      <c r="K78" s="60">
        <f t="shared" si="5"/>
        <v>125600</v>
      </c>
    </row>
    <row r="79" spans="1:11" ht="24" customHeight="1" x14ac:dyDescent="0.25">
      <c r="A79" s="70">
        <v>56</v>
      </c>
      <c r="B79" s="49" t="s">
        <v>121</v>
      </c>
      <c r="C79" s="131"/>
      <c r="D79" s="49" t="s">
        <v>168</v>
      </c>
      <c r="E79" s="49" t="s">
        <v>169</v>
      </c>
      <c r="F79" s="112" t="s">
        <v>127</v>
      </c>
      <c r="G79" s="61">
        <v>200</v>
      </c>
      <c r="H79" s="48"/>
      <c r="I79" s="60">
        <f t="shared" si="7"/>
        <v>200</v>
      </c>
      <c r="J79" s="49">
        <v>12</v>
      </c>
      <c r="K79" s="60">
        <f t="shared" si="5"/>
        <v>2400</v>
      </c>
    </row>
    <row r="80" spans="1:11" ht="24" customHeight="1" x14ac:dyDescent="0.25">
      <c r="A80" s="70">
        <v>57</v>
      </c>
      <c r="B80" s="49" t="s">
        <v>121</v>
      </c>
      <c r="C80" s="131"/>
      <c r="D80" s="49" t="s">
        <v>142</v>
      </c>
      <c r="E80" s="49" t="s">
        <v>170</v>
      </c>
      <c r="F80" s="112" t="s">
        <v>218</v>
      </c>
      <c r="G80" s="60">
        <v>70</v>
      </c>
      <c r="H80" s="48"/>
      <c r="I80" s="60">
        <f t="shared" si="7"/>
        <v>70</v>
      </c>
      <c r="J80" s="49">
        <v>32</v>
      </c>
      <c r="K80" s="60">
        <f t="shared" si="5"/>
        <v>2240</v>
      </c>
    </row>
    <row r="81" spans="1:14" ht="24" customHeight="1" x14ac:dyDescent="0.25">
      <c r="A81" s="70">
        <v>58</v>
      </c>
      <c r="B81" s="49" t="s">
        <v>121</v>
      </c>
      <c r="C81" s="131"/>
      <c r="D81" s="49" t="s">
        <v>152</v>
      </c>
      <c r="E81" s="79" t="s">
        <v>860</v>
      </c>
      <c r="F81" s="112" t="s">
        <v>469</v>
      </c>
      <c r="G81" s="60">
        <v>50</v>
      </c>
      <c r="H81" s="48"/>
      <c r="I81" s="60">
        <f t="shared" si="7"/>
        <v>50</v>
      </c>
      <c r="J81" s="49">
        <v>18</v>
      </c>
      <c r="K81" s="60">
        <f t="shared" si="5"/>
        <v>900</v>
      </c>
    </row>
    <row r="82" spans="1:14" ht="24" customHeight="1" x14ac:dyDescent="0.25">
      <c r="A82" s="70">
        <v>59</v>
      </c>
      <c r="B82" s="49" t="s">
        <v>121</v>
      </c>
      <c r="C82" s="131"/>
      <c r="D82" s="49" t="s">
        <v>153</v>
      </c>
      <c r="E82" s="49" t="s">
        <v>881</v>
      </c>
      <c r="F82" s="112" t="s">
        <v>469</v>
      </c>
      <c r="G82" s="60">
        <v>40</v>
      </c>
      <c r="H82" s="48"/>
      <c r="I82" s="60">
        <f t="shared" si="7"/>
        <v>40</v>
      </c>
      <c r="J82" s="49">
        <v>18</v>
      </c>
      <c r="K82" s="60">
        <f t="shared" si="5"/>
        <v>720</v>
      </c>
    </row>
    <row r="83" spans="1:14" s="13" customFormat="1" ht="24" customHeight="1" x14ac:dyDescent="0.25">
      <c r="A83" s="62"/>
      <c r="B83" s="21"/>
      <c r="C83" s="63"/>
      <c r="D83" s="39" t="s">
        <v>48</v>
      </c>
      <c r="E83" s="39"/>
      <c r="F83" s="63"/>
      <c r="G83" s="40"/>
      <c r="H83" s="40"/>
      <c r="I83" s="74"/>
      <c r="J83" s="39"/>
      <c r="K83" s="40">
        <f>SUM(K24:K82)</f>
        <v>8819776</v>
      </c>
      <c r="L83" s="56"/>
      <c r="M83" s="56"/>
      <c r="N83" s="56"/>
    </row>
    <row r="84" spans="1:14" ht="24" customHeight="1" x14ac:dyDescent="0.25">
      <c r="A84" s="70">
        <v>1</v>
      </c>
      <c r="B84" s="49" t="s">
        <v>171</v>
      </c>
      <c r="C84" s="130" t="s">
        <v>172</v>
      </c>
      <c r="D84" s="49" t="s">
        <v>172</v>
      </c>
      <c r="E84" s="49" t="s">
        <v>172</v>
      </c>
      <c r="F84" s="49" t="s">
        <v>102</v>
      </c>
      <c r="G84" s="75"/>
      <c r="H84" s="77">
        <v>5000</v>
      </c>
      <c r="I84" s="75">
        <f>SUM(G84:H84)</f>
        <v>5000</v>
      </c>
      <c r="J84" s="76">
        <v>4</v>
      </c>
      <c r="K84" s="60">
        <f>I84*J84</f>
        <v>20000</v>
      </c>
    </row>
    <row r="85" spans="1:14" ht="24" customHeight="1" x14ac:dyDescent="0.25">
      <c r="A85" s="70">
        <v>2</v>
      </c>
      <c r="B85" s="49" t="s">
        <v>171</v>
      </c>
      <c r="C85" s="130"/>
      <c r="D85" s="49" t="s">
        <v>173</v>
      </c>
      <c r="E85" s="79" t="s">
        <v>858</v>
      </c>
      <c r="F85" s="49" t="s">
        <v>469</v>
      </c>
      <c r="G85" s="75">
        <v>50</v>
      </c>
      <c r="H85" s="77"/>
      <c r="I85" s="75">
        <f>SUM(G85:H85)</f>
        <v>50</v>
      </c>
      <c r="J85" s="76">
        <v>16</v>
      </c>
      <c r="K85" s="60">
        <f>I85*J85</f>
        <v>800</v>
      </c>
    </row>
    <row r="86" spans="1:14" ht="24" customHeight="1" x14ac:dyDescent="0.25">
      <c r="A86" s="70">
        <v>3</v>
      </c>
      <c r="B86" s="49" t="s">
        <v>171</v>
      </c>
      <c r="C86" s="130"/>
      <c r="D86" s="49" t="s">
        <v>174</v>
      </c>
      <c r="E86" s="49" t="s">
        <v>791</v>
      </c>
      <c r="F86" s="117" t="s">
        <v>469</v>
      </c>
      <c r="G86" s="75">
        <v>80</v>
      </c>
      <c r="H86" s="77"/>
      <c r="I86" s="75">
        <f t="shared" ref="I86:I111" si="8">SUM(G86:H86)</f>
        <v>80</v>
      </c>
      <c r="J86" s="76">
        <v>16</v>
      </c>
      <c r="K86" s="60">
        <f t="shared" ref="K86:K107" si="9">I86*J86</f>
        <v>1280</v>
      </c>
    </row>
    <row r="87" spans="1:14" ht="24" customHeight="1" x14ac:dyDescent="0.25">
      <c r="A87" s="70">
        <v>4</v>
      </c>
      <c r="B87" s="49" t="s">
        <v>171</v>
      </c>
      <c r="C87" s="140" t="s">
        <v>175</v>
      </c>
      <c r="D87" s="49" t="s">
        <v>176</v>
      </c>
      <c r="E87" s="49" t="s">
        <v>177</v>
      </c>
      <c r="F87" s="117" t="s">
        <v>982</v>
      </c>
      <c r="G87" s="75">
        <v>280000</v>
      </c>
      <c r="H87" s="77"/>
      <c r="I87" s="75">
        <f t="shared" si="8"/>
        <v>280000</v>
      </c>
      <c r="J87" s="76">
        <v>2</v>
      </c>
      <c r="K87" s="60">
        <f t="shared" si="9"/>
        <v>560000</v>
      </c>
    </row>
    <row r="88" spans="1:14" ht="24" customHeight="1" x14ac:dyDescent="0.25">
      <c r="A88" s="70">
        <v>5</v>
      </c>
      <c r="B88" s="49" t="s">
        <v>171</v>
      </c>
      <c r="C88" s="144"/>
      <c r="D88" s="49" t="s">
        <v>817</v>
      </c>
      <c r="E88" s="79" t="s">
        <v>863</v>
      </c>
      <c r="F88" s="117" t="s">
        <v>469</v>
      </c>
      <c r="G88" s="75">
        <v>60</v>
      </c>
      <c r="H88" s="77"/>
      <c r="I88" s="75">
        <f>SUM(G88:H88)</f>
        <v>60</v>
      </c>
      <c r="J88" s="76">
        <v>1</v>
      </c>
      <c r="K88" s="60">
        <f t="shared" si="9"/>
        <v>60</v>
      </c>
    </row>
    <row r="89" spans="1:14" ht="24" customHeight="1" x14ac:dyDescent="0.25">
      <c r="A89" s="70">
        <v>6</v>
      </c>
      <c r="B89" s="49" t="s">
        <v>171</v>
      </c>
      <c r="C89" s="144"/>
      <c r="D89" s="49" t="s">
        <v>178</v>
      </c>
      <c r="E89" s="49" t="s">
        <v>855</v>
      </c>
      <c r="F89" s="117" t="s">
        <v>469</v>
      </c>
      <c r="G89" s="75">
        <v>50</v>
      </c>
      <c r="H89" s="77"/>
      <c r="I89" s="75">
        <f t="shared" si="8"/>
        <v>50</v>
      </c>
      <c r="J89" s="76">
        <v>1</v>
      </c>
      <c r="K89" s="60">
        <f t="shared" si="9"/>
        <v>50</v>
      </c>
    </row>
    <row r="90" spans="1:14" ht="24" customHeight="1" x14ac:dyDescent="0.25">
      <c r="A90" s="70">
        <v>7</v>
      </c>
      <c r="B90" s="49" t="s">
        <v>171</v>
      </c>
      <c r="C90" s="141"/>
      <c r="D90" s="49" t="s">
        <v>871</v>
      </c>
      <c r="E90" s="49" t="s">
        <v>887</v>
      </c>
      <c r="F90" s="49" t="s">
        <v>832</v>
      </c>
      <c r="G90" s="75">
        <v>250</v>
      </c>
      <c r="H90" s="77"/>
      <c r="I90" s="75">
        <f t="shared" si="8"/>
        <v>250</v>
      </c>
      <c r="J90" s="76">
        <v>2</v>
      </c>
      <c r="K90" s="60">
        <f t="shared" si="9"/>
        <v>500</v>
      </c>
    </row>
    <row r="91" spans="1:14" ht="24" customHeight="1" x14ac:dyDescent="0.25">
      <c r="A91" s="70">
        <v>8</v>
      </c>
      <c r="B91" s="49" t="s">
        <v>171</v>
      </c>
      <c r="C91" s="20" t="s">
        <v>179</v>
      </c>
      <c r="D91" s="49" t="s">
        <v>179</v>
      </c>
      <c r="E91" s="49" t="s">
        <v>179</v>
      </c>
      <c r="F91" s="117" t="s">
        <v>982</v>
      </c>
      <c r="G91" s="75">
        <v>150000</v>
      </c>
      <c r="H91" s="77"/>
      <c r="I91" s="75">
        <f t="shared" si="8"/>
        <v>150000</v>
      </c>
      <c r="J91" s="76">
        <v>1</v>
      </c>
      <c r="K91" s="60">
        <f t="shared" si="9"/>
        <v>150000</v>
      </c>
    </row>
    <row r="92" spans="1:14" ht="24" customHeight="1" x14ac:dyDescent="0.25">
      <c r="A92" s="70">
        <v>9</v>
      </c>
      <c r="B92" s="49" t="s">
        <v>171</v>
      </c>
      <c r="C92" s="131" t="s">
        <v>180</v>
      </c>
      <c r="D92" s="49" t="s">
        <v>181</v>
      </c>
      <c r="E92" s="49" t="s">
        <v>181</v>
      </c>
      <c r="F92" s="49" t="s">
        <v>982</v>
      </c>
      <c r="G92" s="75">
        <v>125000</v>
      </c>
      <c r="H92" s="77"/>
      <c r="I92" s="75">
        <f t="shared" si="8"/>
        <v>125000</v>
      </c>
      <c r="J92" s="76">
        <v>4</v>
      </c>
      <c r="K92" s="60">
        <f t="shared" si="9"/>
        <v>500000</v>
      </c>
    </row>
    <row r="93" spans="1:14" ht="24" customHeight="1" x14ac:dyDescent="0.25">
      <c r="A93" s="70">
        <v>10</v>
      </c>
      <c r="B93" s="49" t="s">
        <v>171</v>
      </c>
      <c r="C93" s="131"/>
      <c r="D93" s="49" t="s">
        <v>183</v>
      </c>
      <c r="E93" s="110" t="s">
        <v>184</v>
      </c>
      <c r="F93" s="49" t="s">
        <v>182</v>
      </c>
      <c r="G93" s="75">
        <v>15000</v>
      </c>
      <c r="H93" s="77"/>
      <c r="I93" s="75">
        <f t="shared" si="8"/>
        <v>15000</v>
      </c>
      <c r="J93" s="76">
        <v>8</v>
      </c>
      <c r="K93" s="60">
        <f t="shared" si="9"/>
        <v>120000</v>
      </c>
    </row>
    <row r="94" spans="1:14" ht="24" customHeight="1" x14ac:dyDescent="0.25">
      <c r="A94" s="70">
        <v>11</v>
      </c>
      <c r="B94" s="49" t="s">
        <v>171</v>
      </c>
      <c r="C94" s="131"/>
      <c r="D94" s="49" t="s">
        <v>818</v>
      </c>
      <c r="E94" s="79" t="s">
        <v>861</v>
      </c>
      <c r="F94" s="117" t="s">
        <v>469</v>
      </c>
      <c r="G94" s="75">
        <v>60</v>
      </c>
      <c r="H94" s="77"/>
      <c r="I94" s="75">
        <f t="shared" si="8"/>
        <v>60</v>
      </c>
      <c r="J94" s="76">
        <v>8</v>
      </c>
      <c r="K94" s="60">
        <f t="shared" si="9"/>
        <v>480</v>
      </c>
    </row>
    <row r="95" spans="1:14" ht="24" customHeight="1" x14ac:dyDescent="0.25">
      <c r="A95" s="70">
        <v>12</v>
      </c>
      <c r="B95" s="49" t="s">
        <v>171</v>
      </c>
      <c r="C95" s="131"/>
      <c r="D95" s="49" t="s">
        <v>819</v>
      </c>
      <c r="E95" s="49" t="s">
        <v>892</v>
      </c>
      <c r="F95" s="117" t="s">
        <v>469</v>
      </c>
      <c r="G95" s="75">
        <v>90</v>
      </c>
      <c r="H95" s="77"/>
      <c r="I95" s="75">
        <f t="shared" si="8"/>
        <v>90</v>
      </c>
      <c r="J95" s="76">
        <v>8</v>
      </c>
      <c r="K95" s="60">
        <f t="shared" si="9"/>
        <v>720</v>
      </c>
    </row>
    <row r="96" spans="1:14" ht="24" customHeight="1" x14ac:dyDescent="0.25">
      <c r="A96" s="70">
        <v>13</v>
      </c>
      <c r="B96" s="49" t="s">
        <v>171</v>
      </c>
      <c r="C96" s="140" t="s">
        <v>185</v>
      </c>
      <c r="D96" s="49" t="s">
        <v>186</v>
      </c>
      <c r="E96" s="49" t="s">
        <v>186</v>
      </c>
      <c r="F96" s="49" t="s">
        <v>806</v>
      </c>
      <c r="G96" s="75"/>
      <c r="H96" s="75">
        <v>30000</v>
      </c>
      <c r="I96" s="75">
        <f t="shared" si="8"/>
        <v>30000</v>
      </c>
      <c r="J96" s="76">
        <v>2</v>
      </c>
      <c r="K96" s="60">
        <f t="shared" si="9"/>
        <v>60000</v>
      </c>
    </row>
    <row r="97" spans="1:11" ht="24" customHeight="1" x14ac:dyDescent="0.25">
      <c r="A97" s="70">
        <v>14</v>
      </c>
      <c r="B97" s="49" t="s">
        <v>171</v>
      </c>
      <c r="C97" s="144"/>
      <c r="D97" s="49" t="s">
        <v>187</v>
      </c>
      <c r="E97" s="49" t="s">
        <v>187</v>
      </c>
      <c r="F97" s="49" t="s">
        <v>806</v>
      </c>
      <c r="G97" s="75"/>
      <c r="H97" s="77">
        <v>70000</v>
      </c>
      <c r="I97" s="75">
        <f t="shared" si="8"/>
        <v>70000</v>
      </c>
      <c r="J97" s="76">
        <v>1</v>
      </c>
      <c r="K97" s="60">
        <f t="shared" si="9"/>
        <v>70000</v>
      </c>
    </row>
    <row r="98" spans="1:11" ht="24" customHeight="1" x14ac:dyDescent="0.25">
      <c r="A98" s="70">
        <v>15</v>
      </c>
      <c r="B98" s="49" t="s">
        <v>171</v>
      </c>
      <c r="C98" s="144"/>
      <c r="D98" s="49" t="s">
        <v>188</v>
      </c>
      <c r="E98" s="49" t="s">
        <v>188</v>
      </c>
      <c r="F98" s="49" t="s">
        <v>218</v>
      </c>
      <c r="G98" s="75">
        <v>100</v>
      </c>
      <c r="H98" s="77"/>
      <c r="I98" s="75">
        <f t="shared" si="8"/>
        <v>100</v>
      </c>
      <c r="J98" s="76">
        <v>5</v>
      </c>
      <c r="K98" s="60">
        <f t="shared" si="9"/>
        <v>500</v>
      </c>
    </row>
    <row r="99" spans="1:11" ht="24" customHeight="1" x14ac:dyDescent="0.25">
      <c r="A99" s="70">
        <v>16</v>
      </c>
      <c r="B99" s="49" t="s">
        <v>171</v>
      </c>
      <c r="C99" s="144"/>
      <c r="D99" s="49" t="s">
        <v>820</v>
      </c>
      <c r="E99" s="49" t="s">
        <v>821</v>
      </c>
      <c r="F99" s="49" t="s">
        <v>389</v>
      </c>
      <c r="G99" s="75">
        <v>3000</v>
      </c>
      <c r="H99" s="77"/>
      <c r="I99" s="75">
        <f t="shared" si="8"/>
        <v>3000</v>
      </c>
      <c r="J99" s="76">
        <v>1</v>
      </c>
      <c r="K99" s="60">
        <f t="shared" si="9"/>
        <v>3000</v>
      </c>
    </row>
    <row r="100" spans="1:11" ht="24" customHeight="1" x14ac:dyDescent="0.25">
      <c r="A100" s="70">
        <v>17</v>
      </c>
      <c r="B100" s="49" t="s">
        <v>171</v>
      </c>
      <c r="C100" s="144"/>
      <c r="D100" s="49" t="s">
        <v>168</v>
      </c>
      <c r="E100" s="49" t="s">
        <v>822</v>
      </c>
      <c r="F100" s="49" t="s">
        <v>823</v>
      </c>
      <c r="G100" s="75">
        <v>2174</v>
      </c>
      <c r="H100" s="77"/>
      <c r="I100" s="75">
        <f t="shared" si="8"/>
        <v>2174</v>
      </c>
      <c r="J100" s="76">
        <v>2</v>
      </c>
      <c r="K100" s="60">
        <f t="shared" si="9"/>
        <v>4348</v>
      </c>
    </row>
    <row r="101" spans="1:11" ht="24" customHeight="1" x14ac:dyDescent="0.25">
      <c r="A101" s="70">
        <v>18</v>
      </c>
      <c r="B101" s="49" t="s">
        <v>171</v>
      </c>
      <c r="C101" s="144"/>
      <c r="D101" s="49" t="s">
        <v>189</v>
      </c>
      <c r="E101" s="79" t="s">
        <v>857</v>
      </c>
      <c r="F101" s="117" t="s">
        <v>469</v>
      </c>
      <c r="G101" s="75">
        <v>60</v>
      </c>
      <c r="H101" s="77"/>
      <c r="I101" s="75">
        <f t="shared" si="8"/>
        <v>60</v>
      </c>
      <c r="J101" s="76">
        <v>7</v>
      </c>
      <c r="K101" s="60">
        <f t="shared" si="9"/>
        <v>420</v>
      </c>
    </row>
    <row r="102" spans="1:11" ht="24" customHeight="1" x14ac:dyDescent="0.25">
      <c r="A102" s="70">
        <v>19</v>
      </c>
      <c r="B102" s="49" t="s">
        <v>171</v>
      </c>
      <c r="C102" s="144"/>
      <c r="D102" s="49" t="s">
        <v>824</v>
      </c>
      <c r="E102" s="49" t="s">
        <v>888</v>
      </c>
      <c r="F102" s="117" t="s">
        <v>469</v>
      </c>
      <c r="G102" s="75">
        <v>50</v>
      </c>
      <c r="H102" s="77"/>
      <c r="I102" s="75">
        <f t="shared" si="8"/>
        <v>50</v>
      </c>
      <c r="J102" s="76">
        <v>7</v>
      </c>
      <c r="K102" s="60">
        <f t="shared" si="9"/>
        <v>350</v>
      </c>
    </row>
    <row r="103" spans="1:11" ht="24" customHeight="1" x14ac:dyDescent="0.25">
      <c r="A103" s="70">
        <v>20</v>
      </c>
      <c r="B103" s="49" t="s">
        <v>171</v>
      </c>
      <c r="C103" s="144"/>
      <c r="D103" s="49" t="s">
        <v>865</v>
      </c>
      <c r="E103" s="49" t="s">
        <v>866</v>
      </c>
      <c r="F103" s="117" t="s">
        <v>469</v>
      </c>
      <c r="G103" s="75">
        <v>50</v>
      </c>
      <c r="H103" s="77"/>
      <c r="I103" s="75">
        <f t="shared" si="8"/>
        <v>50</v>
      </c>
      <c r="J103" s="76">
        <v>2</v>
      </c>
      <c r="K103" s="60">
        <f t="shared" si="9"/>
        <v>100</v>
      </c>
    </row>
    <row r="104" spans="1:11" ht="24" customHeight="1" x14ac:dyDescent="0.25">
      <c r="A104" s="70">
        <v>21</v>
      </c>
      <c r="B104" s="49" t="s">
        <v>171</v>
      </c>
      <c r="C104" s="144"/>
      <c r="D104" s="49" t="s">
        <v>867</v>
      </c>
      <c r="E104" s="49" t="s">
        <v>886</v>
      </c>
      <c r="F104" s="117" t="s">
        <v>469</v>
      </c>
      <c r="G104" s="75">
        <v>40</v>
      </c>
      <c r="H104" s="77"/>
      <c r="I104" s="75">
        <f t="shared" si="8"/>
        <v>40</v>
      </c>
      <c r="J104" s="76">
        <v>2</v>
      </c>
      <c r="K104" s="60">
        <f t="shared" si="9"/>
        <v>80</v>
      </c>
    </row>
    <row r="105" spans="1:11" ht="24" customHeight="1" x14ac:dyDescent="0.25">
      <c r="A105" s="70">
        <v>22</v>
      </c>
      <c r="B105" s="49" t="s">
        <v>171</v>
      </c>
      <c r="C105" s="144"/>
      <c r="D105" s="49" t="s">
        <v>841</v>
      </c>
      <c r="E105" s="49" t="s">
        <v>809</v>
      </c>
      <c r="F105" s="49" t="s">
        <v>833</v>
      </c>
      <c r="G105" s="75">
        <v>4500</v>
      </c>
      <c r="H105" s="77"/>
      <c r="I105" s="75">
        <f t="shared" si="8"/>
        <v>4500</v>
      </c>
      <c r="J105" s="76">
        <v>2</v>
      </c>
      <c r="K105" s="60">
        <f t="shared" si="9"/>
        <v>9000</v>
      </c>
    </row>
    <row r="106" spans="1:11" ht="24" customHeight="1" x14ac:dyDescent="0.25">
      <c r="A106" s="70">
        <v>23</v>
      </c>
      <c r="B106" s="49" t="s">
        <v>171</v>
      </c>
      <c r="C106" s="144"/>
      <c r="D106" s="49" t="s">
        <v>868</v>
      </c>
      <c r="E106" s="49" t="s">
        <v>869</v>
      </c>
      <c r="F106" s="49" t="s">
        <v>389</v>
      </c>
      <c r="G106" s="75">
        <v>5000</v>
      </c>
      <c r="H106" s="77"/>
      <c r="I106" s="75">
        <f t="shared" si="8"/>
        <v>5000</v>
      </c>
      <c r="J106" s="76">
        <v>1</v>
      </c>
      <c r="K106" s="60">
        <f t="shared" si="9"/>
        <v>5000</v>
      </c>
    </row>
    <row r="107" spans="1:11" ht="24" customHeight="1" x14ac:dyDescent="0.25">
      <c r="A107" s="70">
        <v>24</v>
      </c>
      <c r="B107" s="49" t="s">
        <v>171</v>
      </c>
      <c r="C107" s="141"/>
      <c r="D107" s="49" t="s">
        <v>883</v>
      </c>
      <c r="E107" s="49" t="s">
        <v>884</v>
      </c>
      <c r="F107" s="49" t="s">
        <v>389</v>
      </c>
      <c r="G107" s="75">
        <v>3000</v>
      </c>
      <c r="H107" s="77"/>
      <c r="I107" s="75">
        <f t="shared" si="8"/>
        <v>3000</v>
      </c>
      <c r="J107" s="76">
        <v>1</v>
      </c>
      <c r="K107" s="60">
        <f t="shared" si="9"/>
        <v>3000</v>
      </c>
    </row>
    <row r="108" spans="1:11" ht="24" customHeight="1" x14ac:dyDescent="0.25">
      <c r="A108" s="70">
        <v>25</v>
      </c>
      <c r="B108" s="49" t="s">
        <v>171</v>
      </c>
      <c r="C108" s="131" t="s">
        <v>825</v>
      </c>
      <c r="D108" s="49" t="s">
        <v>825</v>
      </c>
      <c r="E108" s="49" t="s">
        <v>826</v>
      </c>
      <c r="F108" s="49" t="s">
        <v>982</v>
      </c>
      <c r="G108" s="75">
        <v>100000</v>
      </c>
      <c r="H108" s="77"/>
      <c r="I108" s="75">
        <f t="shared" si="8"/>
        <v>100000</v>
      </c>
      <c r="J108" s="76">
        <v>1</v>
      </c>
      <c r="K108" s="60">
        <f t="shared" ref="K108:K112" si="10">I108*J108</f>
        <v>100000</v>
      </c>
    </row>
    <row r="109" spans="1:11" ht="24" customHeight="1" x14ac:dyDescent="0.25">
      <c r="A109" s="70">
        <v>26</v>
      </c>
      <c r="B109" s="49" t="s">
        <v>171</v>
      </c>
      <c r="C109" s="131"/>
      <c r="D109" s="49" t="s">
        <v>827</v>
      </c>
      <c r="E109" s="49" t="s">
        <v>828</v>
      </c>
      <c r="F109" s="49" t="s">
        <v>981</v>
      </c>
      <c r="G109" s="75">
        <v>90000</v>
      </c>
      <c r="H109" s="77"/>
      <c r="I109" s="75">
        <f t="shared" si="8"/>
        <v>90000</v>
      </c>
      <c r="J109" s="76">
        <v>1</v>
      </c>
      <c r="K109" s="60">
        <f t="shared" si="10"/>
        <v>90000</v>
      </c>
    </row>
    <row r="110" spans="1:11" ht="24" customHeight="1" x14ac:dyDescent="0.25">
      <c r="A110" s="70">
        <v>27</v>
      </c>
      <c r="B110" s="49" t="s">
        <v>171</v>
      </c>
      <c r="C110" s="131"/>
      <c r="D110" s="49" t="s">
        <v>829</v>
      </c>
      <c r="E110" s="79" t="s">
        <v>864</v>
      </c>
      <c r="F110" s="117" t="s">
        <v>469</v>
      </c>
      <c r="G110" s="75">
        <v>30</v>
      </c>
      <c r="H110" s="77"/>
      <c r="I110" s="75">
        <f t="shared" si="8"/>
        <v>30</v>
      </c>
      <c r="J110" s="76">
        <v>4</v>
      </c>
      <c r="K110" s="60">
        <f t="shared" si="10"/>
        <v>120</v>
      </c>
    </row>
    <row r="111" spans="1:11" ht="24" customHeight="1" x14ac:dyDescent="0.25">
      <c r="A111" s="70">
        <v>28</v>
      </c>
      <c r="B111" s="49" t="s">
        <v>171</v>
      </c>
      <c r="C111" s="131"/>
      <c r="D111" s="49" t="s">
        <v>830</v>
      </c>
      <c r="E111" s="49" t="s">
        <v>889</v>
      </c>
      <c r="F111" s="117" t="s">
        <v>469</v>
      </c>
      <c r="G111" s="75">
        <v>30</v>
      </c>
      <c r="H111" s="77"/>
      <c r="I111" s="75">
        <f t="shared" si="8"/>
        <v>30</v>
      </c>
      <c r="J111" s="76">
        <v>4</v>
      </c>
      <c r="K111" s="60">
        <f t="shared" si="10"/>
        <v>120</v>
      </c>
    </row>
    <row r="112" spans="1:11" ht="24" customHeight="1" x14ac:dyDescent="0.25">
      <c r="A112" s="70">
        <v>29</v>
      </c>
      <c r="B112" s="49" t="s">
        <v>171</v>
      </c>
      <c r="C112" s="140" t="s">
        <v>190</v>
      </c>
      <c r="D112" s="49" t="s">
        <v>191</v>
      </c>
      <c r="E112" s="49" t="s">
        <v>191</v>
      </c>
      <c r="F112" s="49" t="s">
        <v>831</v>
      </c>
      <c r="G112" s="75"/>
      <c r="H112" s="77">
        <v>57000</v>
      </c>
      <c r="I112" s="75">
        <f t="shared" ref="I112:I118" si="11">SUM(G112:H112)</f>
        <v>57000</v>
      </c>
      <c r="J112" s="76">
        <v>1</v>
      </c>
      <c r="K112" s="60">
        <f t="shared" si="10"/>
        <v>57000</v>
      </c>
    </row>
    <row r="113" spans="1:15" ht="24" customHeight="1" x14ac:dyDescent="0.25">
      <c r="A113" s="70">
        <v>30</v>
      </c>
      <c r="B113" s="49" t="s">
        <v>171</v>
      </c>
      <c r="C113" s="141"/>
      <c r="D113" s="49" t="s">
        <v>192</v>
      </c>
      <c r="E113" s="49" t="s">
        <v>192</v>
      </c>
      <c r="F113" s="49" t="s">
        <v>832</v>
      </c>
      <c r="G113" s="60">
        <v>3740</v>
      </c>
      <c r="H113" s="48"/>
      <c r="I113" s="60">
        <f t="shared" si="11"/>
        <v>3740</v>
      </c>
      <c r="J113" s="49">
        <v>1</v>
      </c>
      <c r="K113" s="60">
        <f t="shared" ref="K113:K118" si="12">I113*J113</f>
        <v>3740</v>
      </c>
    </row>
    <row r="114" spans="1:15" ht="24" customHeight="1" x14ac:dyDescent="0.25">
      <c r="A114" s="70">
        <v>31</v>
      </c>
      <c r="B114" s="49" t="s">
        <v>171</v>
      </c>
      <c r="C114" s="140" t="s">
        <v>836</v>
      </c>
      <c r="D114" s="49" t="s">
        <v>838</v>
      </c>
      <c r="E114" s="79" t="s">
        <v>851</v>
      </c>
      <c r="F114" s="117" t="s">
        <v>469</v>
      </c>
      <c r="G114" s="60">
        <v>50</v>
      </c>
      <c r="H114" s="48"/>
      <c r="I114" s="60">
        <f t="shared" si="11"/>
        <v>50</v>
      </c>
      <c r="J114" s="49">
        <v>2</v>
      </c>
      <c r="K114" s="60">
        <f t="shared" si="12"/>
        <v>100</v>
      </c>
    </row>
    <row r="115" spans="1:15" ht="24" customHeight="1" x14ac:dyDescent="0.25">
      <c r="A115" s="70">
        <v>32</v>
      </c>
      <c r="B115" s="49" t="s">
        <v>171</v>
      </c>
      <c r="C115" s="144"/>
      <c r="D115" s="49" t="s">
        <v>839</v>
      </c>
      <c r="E115" s="49" t="s">
        <v>840</v>
      </c>
      <c r="F115" s="49" t="s">
        <v>831</v>
      </c>
      <c r="G115" s="60">
        <v>1000</v>
      </c>
      <c r="H115" s="48"/>
      <c r="I115" s="60">
        <f t="shared" si="11"/>
        <v>1000</v>
      </c>
      <c r="J115" s="49">
        <v>2</v>
      </c>
      <c r="K115" s="60">
        <f t="shared" si="12"/>
        <v>2000</v>
      </c>
    </row>
    <row r="116" spans="1:15" ht="24" customHeight="1" x14ac:dyDescent="0.25">
      <c r="A116" s="70">
        <v>33</v>
      </c>
      <c r="B116" s="49" t="s">
        <v>171</v>
      </c>
      <c r="C116" s="144"/>
      <c r="D116" s="49" t="s">
        <v>836</v>
      </c>
      <c r="E116" s="49" t="s">
        <v>837</v>
      </c>
      <c r="F116" s="52" t="s">
        <v>324</v>
      </c>
      <c r="G116" s="116">
        <v>2120</v>
      </c>
      <c r="H116" s="49"/>
      <c r="I116" s="116">
        <f t="shared" si="11"/>
        <v>2120</v>
      </c>
      <c r="J116" s="49">
        <v>2</v>
      </c>
      <c r="K116" s="116">
        <f t="shared" si="12"/>
        <v>4240</v>
      </c>
    </row>
    <row r="117" spans="1:15" ht="24" customHeight="1" x14ac:dyDescent="0.25">
      <c r="A117" s="70">
        <v>34</v>
      </c>
      <c r="B117" s="49" t="s">
        <v>171</v>
      </c>
      <c r="C117" s="144"/>
      <c r="D117" s="49" t="s">
        <v>870</v>
      </c>
      <c r="E117" s="49" t="s">
        <v>870</v>
      </c>
      <c r="F117" s="52" t="s">
        <v>127</v>
      </c>
      <c r="G117" s="116">
        <v>500</v>
      </c>
      <c r="H117" s="49"/>
      <c r="I117" s="116">
        <f t="shared" si="11"/>
        <v>500</v>
      </c>
      <c r="J117" s="49">
        <v>4</v>
      </c>
      <c r="K117" s="116">
        <f t="shared" si="12"/>
        <v>2000</v>
      </c>
    </row>
    <row r="118" spans="1:15" ht="24" customHeight="1" x14ac:dyDescent="0.25">
      <c r="A118" s="70">
        <v>35</v>
      </c>
      <c r="B118" s="49" t="s">
        <v>171</v>
      </c>
      <c r="C118" s="141"/>
      <c r="D118" s="49" t="s">
        <v>905</v>
      </c>
      <c r="E118" s="49" t="s">
        <v>906</v>
      </c>
      <c r="F118" s="52" t="s">
        <v>907</v>
      </c>
      <c r="G118" s="116">
        <v>18000</v>
      </c>
      <c r="H118" s="49"/>
      <c r="I118" s="116">
        <f t="shared" si="11"/>
        <v>18000</v>
      </c>
      <c r="J118" s="49">
        <v>1</v>
      </c>
      <c r="K118" s="116">
        <f t="shared" si="12"/>
        <v>18000</v>
      </c>
    </row>
    <row r="119" spans="1:15" s="13" customFormat="1" ht="24" customHeight="1" x14ac:dyDescent="0.25">
      <c r="A119" s="62"/>
      <c r="B119" s="21"/>
      <c r="C119" s="63"/>
      <c r="D119" s="39" t="s">
        <v>48</v>
      </c>
      <c r="E119" s="39"/>
      <c r="F119" s="63"/>
      <c r="G119" s="78"/>
      <c r="H119" s="78"/>
      <c r="I119" s="74"/>
      <c r="J119" s="39"/>
      <c r="K119" s="40">
        <f>SUM(K84:K113)</f>
        <v>1760668</v>
      </c>
      <c r="L119" s="105"/>
      <c r="M119" s="56"/>
      <c r="N119" s="56"/>
      <c r="O119" s="32"/>
    </row>
    <row r="120" spans="1:15" ht="24" customHeight="1" x14ac:dyDescent="0.25">
      <c r="A120" s="70">
        <v>1</v>
      </c>
      <c r="B120" s="49" t="s">
        <v>76</v>
      </c>
      <c r="C120" s="130" t="s">
        <v>706</v>
      </c>
      <c r="D120" s="49" t="s">
        <v>707</v>
      </c>
      <c r="E120" s="82" t="s">
        <v>708</v>
      </c>
      <c r="F120" s="71" t="s">
        <v>205</v>
      </c>
      <c r="G120" s="60">
        <v>56954</v>
      </c>
      <c r="H120" s="60"/>
      <c r="I120" s="60">
        <f t="shared" ref="I120:I149" si="13">SUM(G120:H120)</f>
        <v>56954</v>
      </c>
      <c r="J120" s="49">
        <v>1</v>
      </c>
      <c r="K120" s="81">
        <f t="shared" ref="K120:K161" si="14">I120*J120</f>
        <v>56954</v>
      </c>
    </row>
    <row r="121" spans="1:15" ht="24" customHeight="1" x14ac:dyDescent="0.25">
      <c r="A121" s="70">
        <v>2</v>
      </c>
      <c r="B121" s="49" t="s">
        <v>76</v>
      </c>
      <c r="C121" s="130"/>
      <c r="D121" s="49" t="s">
        <v>707</v>
      </c>
      <c r="E121" s="82" t="s">
        <v>709</v>
      </c>
      <c r="F121" s="71" t="s">
        <v>205</v>
      </c>
      <c r="G121" s="60">
        <v>30240</v>
      </c>
      <c r="H121" s="60"/>
      <c r="I121" s="60">
        <f t="shared" si="13"/>
        <v>30240</v>
      </c>
      <c r="J121" s="49">
        <v>1</v>
      </c>
      <c r="K121" s="81">
        <f t="shared" si="14"/>
        <v>30240</v>
      </c>
    </row>
    <row r="122" spans="1:15" ht="24" customHeight="1" x14ac:dyDescent="0.25">
      <c r="A122" s="70">
        <v>3</v>
      </c>
      <c r="B122" s="49" t="s">
        <v>76</v>
      </c>
      <c r="C122" s="130"/>
      <c r="D122" s="49" t="s">
        <v>710</v>
      </c>
      <c r="E122" s="79" t="s">
        <v>711</v>
      </c>
      <c r="F122" s="71" t="s">
        <v>712</v>
      </c>
      <c r="G122" s="81">
        <v>10100</v>
      </c>
      <c r="H122" s="81"/>
      <c r="I122" s="81">
        <f t="shared" si="13"/>
        <v>10100</v>
      </c>
      <c r="J122" s="79">
        <v>2</v>
      </c>
      <c r="K122" s="81">
        <f t="shared" si="14"/>
        <v>20200</v>
      </c>
    </row>
    <row r="123" spans="1:15" ht="24" customHeight="1" x14ac:dyDescent="0.25">
      <c r="A123" s="70">
        <v>4</v>
      </c>
      <c r="B123" s="49" t="s">
        <v>76</v>
      </c>
      <c r="C123" s="130"/>
      <c r="D123" s="49" t="s">
        <v>710</v>
      </c>
      <c r="E123" s="79" t="s">
        <v>713</v>
      </c>
      <c r="F123" s="71" t="s">
        <v>712</v>
      </c>
      <c r="G123" s="81">
        <v>3190</v>
      </c>
      <c r="H123" s="81"/>
      <c r="I123" s="81">
        <f t="shared" si="13"/>
        <v>3190</v>
      </c>
      <c r="J123" s="79">
        <v>1</v>
      </c>
      <c r="K123" s="81">
        <f t="shared" si="14"/>
        <v>3190</v>
      </c>
      <c r="L123" s="104"/>
    </row>
    <row r="124" spans="1:15" ht="24" customHeight="1" x14ac:dyDescent="0.25">
      <c r="A124" s="70">
        <v>5</v>
      </c>
      <c r="B124" s="49" t="s">
        <v>76</v>
      </c>
      <c r="C124" s="130"/>
      <c r="D124" s="49" t="s">
        <v>714</v>
      </c>
      <c r="E124" s="79" t="s">
        <v>715</v>
      </c>
      <c r="F124" s="71" t="s">
        <v>716</v>
      </c>
      <c r="G124" s="81">
        <v>62500</v>
      </c>
      <c r="H124" s="81">
        <v>9800</v>
      </c>
      <c r="I124" s="81">
        <f t="shared" si="13"/>
        <v>72300</v>
      </c>
      <c r="J124" s="79">
        <v>1</v>
      </c>
      <c r="K124" s="81">
        <f t="shared" si="14"/>
        <v>72300</v>
      </c>
      <c r="L124" s="104"/>
    </row>
    <row r="125" spans="1:15" ht="24" customHeight="1" x14ac:dyDescent="0.25">
      <c r="A125" s="70">
        <v>6</v>
      </c>
      <c r="B125" s="49" t="s">
        <v>76</v>
      </c>
      <c r="C125" s="130"/>
      <c r="D125" s="49" t="s">
        <v>717</v>
      </c>
      <c r="E125" s="79" t="s">
        <v>715</v>
      </c>
      <c r="F125" s="71" t="s">
        <v>716</v>
      </c>
      <c r="G125" s="81">
        <v>75950</v>
      </c>
      <c r="H125" s="81">
        <v>8600</v>
      </c>
      <c r="I125" s="81">
        <f t="shared" si="13"/>
        <v>84550</v>
      </c>
      <c r="J125" s="79">
        <v>1</v>
      </c>
      <c r="K125" s="81">
        <f t="shared" si="14"/>
        <v>84550</v>
      </c>
      <c r="L125" s="104"/>
    </row>
    <row r="126" spans="1:15" ht="24" customHeight="1" x14ac:dyDescent="0.25">
      <c r="A126" s="70">
        <v>7</v>
      </c>
      <c r="B126" s="49" t="s">
        <v>76</v>
      </c>
      <c r="C126" s="130"/>
      <c r="D126" s="49" t="s">
        <v>718</v>
      </c>
      <c r="E126" s="79" t="s">
        <v>719</v>
      </c>
      <c r="F126" s="71" t="s">
        <v>720</v>
      </c>
      <c r="G126" s="81">
        <v>80</v>
      </c>
      <c r="H126" s="81"/>
      <c r="I126" s="81">
        <f t="shared" si="13"/>
        <v>80</v>
      </c>
      <c r="J126" s="79">
        <v>4</v>
      </c>
      <c r="K126" s="81">
        <f t="shared" si="14"/>
        <v>320</v>
      </c>
      <c r="L126" s="104"/>
    </row>
    <row r="127" spans="1:15" ht="24" customHeight="1" x14ac:dyDescent="0.25">
      <c r="A127" s="70">
        <v>8</v>
      </c>
      <c r="B127" s="49" t="s">
        <v>76</v>
      </c>
      <c r="C127" s="130"/>
      <c r="D127" s="49" t="s">
        <v>721</v>
      </c>
      <c r="E127" s="79" t="s">
        <v>722</v>
      </c>
      <c r="F127" s="71" t="s">
        <v>389</v>
      </c>
      <c r="G127" s="81">
        <v>112</v>
      </c>
      <c r="H127" s="81">
        <v>70</v>
      </c>
      <c r="I127" s="81">
        <f t="shared" si="13"/>
        <v>182</v>
      </c>
      <c r="J127" s="79">
        <v>4</v>
      </c>
      <c r="K127" s="81">
        <f t="shared" si="14"/>
        <v>728</v>
      </c>
      <c r="L127" s="104"/>
    </row>
    <row r="128" spans="1:15" ht="24" customHeight="1" x14ac:dyDescent="0.25">
      <c r="A128" s="70">
        <v>9</v>
      </c>
      <c r="B128" s="49" t="s">
        <v>76</v>
      </c>
      <c r="C128" s="130"/>
      <c r="D128" s="49" t="s">
        <v>723</v>
      </c>
      <c r="E128" s="79" t="s">
        <v>724</v>
      </c>
      <c r="F128" s="71" t="s">
        <v>205</v>
      </c>
      <c r="G128" s="81">
        <v>10000</v>
      </c>
      <c r="H128" s="81"/>
      <c r="I128" s="81">
        <f t="shared" si="13"/>
        <v>10000</v>
      </c>
      <c r="J128" s="79">
        <v>1</v>
      </c>
      <c r="K128" s="81">
        <f t="shared" si="14"/>
        <v>10000</v>
      </c>
      <c r="L128" s="104"/>
    </row>
    <row r="129" spans="1:13" ht="24" customHeight="1" x14ac:dyDescent="0.25">
      <c r="A129" s="70">
        <v>10</v>
      </c>
      <c r="B129" s="49" t="s">
        <v>76</v>
      </c>
      <c r="C129" s="130" t="s">
        <v>725</v>
      </c>
      <c r="D129" s="49" t="s">
        <v>726</v>
      </c>
      <c r="E129" s="82" t="s">
        <v>850</v>
      </c>
      <c r="F129" s="71" t="s">
        <v>469</v>
      </c>
      <c r="G129" s="60">
        <v>10</v>
      </c>
      <c r="H129" s="60"/>
      <c r="I129" s="60">
        <f t="shared" si="13"/>
        <v>10</v>
      </c>
      <c r="J129" s="49">
        <v>8</v>
      </c>
      <c r="K129" s="81">
        <f t="shared" si="14"/>
        <v>80</v>
      </c>
      <c r="L129" s="104"/>
    </row>
    <row r="130" spans="1:13" ht="24" customHeight="1" x14ac:dyDescent="0.25">
      <c r="A130" s="70">
        <v>11</v>
      </c>
      <c r="B130" s="49" t="s">
        <v>76</v>
      </c>
      <c r="C130" s="130"/>
      <c r="D130" s="49" t="s">
        <v>727</v>
      </c>
      <c r="E130" s="79" t="s">
        <v>728</v>
      </c>
      <c r="F130" s="71" t="s">
        <v>729</v>
      </c>
      <c r="G130" s="81">
        <v>5</v>
      </c>
      <c r="H130" s="81"/>
      <c r="I130" s="81">
        <f t="shared" si="13"/>
        <v>5</v>
      </c>
      <c r="J130" s="79">
        <v>8</v>
      </c>
      <c r="K130" s="81">
        <f t="shared" si="14"/>
        <v>40</v>
      </c>
      <c r="L130" s="104"/>
    </row>
    <row r="131" spans="1:13" ht="24" customHeight="1" x14ac:dyDescent="0.25">
      <c r="A131" s="70">
        <v>12</v>
      </c>
      <c r="B131" s="49" t="s">
        <v>76</v>
      </c>
      <c r="C131" s="130"/>
      <c r="D131" s="49" t="s">
        <v>730</v>
      </c>
      <c r="E131" s="82" t="s">
        <v>850</v>
      </c>
      <c r="F131" s="71" t="s">
        <v>469</v>
      </c>
      <c r="G131" s="81">
        <v>10</v>
      </c>
      <c r="H131" s="81"/>
      <c r="I131" s="81">
        <f t="shared" si="13"/>
        <v>10</v>
      </c>
      <c r="J131" s="79">
        <v>16</v>
      </c>
      <c r="K131" s="81">
        <f t="shared" si="14"/>
        <v>160</v>
      </c>
      <c r="L131" s="104"/>
      <c r="M131" s="49"/>
    </row>
    <row r="132" spans="1:13" ht="24" customHeight="1" x14ac:dyDescent="0.25">
      <c r="A132" s="70">
        <v>13</v>
      </c>
      <c r="B132" s="49" t="s">
        <v>76</v>
      </c>
      <c r="C132" s="130"/>
      <c r="D132" s="49" t="s">
        <v>731</v>
      </c>
      <c r="E132" s="79" t="s">
        <v>728</v>
      </c>
      <c r="F132" s="71" t="s">
        <v>729</v>
      </c>
      <c r="G132" s="81">
        <v>5</v>
      </c>
      <c r="H132" s="81"/>
      <c r="I132" s="81">
        <f t="shared" si="13"/>
        <v>5</v>
      </c>
      <c r="J132" s="79">
        <v>16</v>
      </c>
      <c r="K132" s="81">
        <f t="shared" si="14"/>
        <v>80</v>
      </c>
      <c r="L132" s="104"/>
    </row>
    <row r="133" spans="1:13" ht="24" customHeight="1" x14ac:dyDescent="0.25">
      <c r="A133" s="70">
        <v>14</v>
      </c>
      <c r="B133" s="49" t="s">
        <v>76</v>
      </c>
      <c r="C133" s="130"/>
      <c r="D133" s="49" t="s">
        <v>732</v>
      </c>
      <c r="E133" s="79" t="s">
        <v>851</v>
      </c>
      <c r="F133" s="71" t="s">
        <v>729</v>
      </c>
      <c r="G133" s="81">
        <v>50</v>
      </c>
      <c r="H133" s="81"/>
      <c r="I133" s="81">
        <f t="shared" si="13"/>
        <v>50</v>
      </c>
      <c r="J133" s="79">
        <v>4</v>
      </c>
      <c r="K133" s="81">
        <f t="shared" si="14"/>
        <v>200</v>
      </c>
      <c r="L133" s="104"/>
    </row>
    <row r="134" spans="1:13" ht="24" customHeight="1" x14ac:dyDescent="0.25">
      <c r="A134" s="70">
        <v>15</v>
      </c>
      <c r="B134" s="49" t="s">
        <v>76</v>
      </c>
      <c r="C134" s="130"/>
      <c r="D134" s="49" t="s">
        <v>733</v>
      </c>
      <c r="E134" s="49" t="s">
        <v>881</v>
      </c>
      <c r="F134" s="71" t="s">
        <v>729</v>
      </c>
      <c r="G134" s="81">
        <v>40</v>
      </c>
      <c r="H134" s="81"/>
      <c r="I134" s="81">
        <f t="shared" si="13"/>
        <v>40</v>
      </c>
      <c r="J134" s="79">
        <v>4</v>
      </c>
      <c r="K134" s="81">
        <f t="shared" si="14"/>
        <v>160</v>
      </c>
      <c r="L134" s="104"/>
    </row>
    <row r="135" spans="1:13" ht="24" customHeight="1" x14ac:dyDescent="0.25">
      <c r="A135" s="70">
        <v>16</v>
      </c>
      <c r="B135" s="49" t="s">
        <v>76</v>
      </c>
      <c r="C135" s="130"/>
      <c r="D135" s="49" t="s">
        <v>734</v>
      </c>
      <c r="E135" s="79" t="s">
        <v>851</v>
      </c>
      <c r="F135" s="71" t="s">
        <v>729</v>
      </c>
      <c r="G135" s="81">
        <v>50</v>
      </c>
      <c r="H135" s="81"/>
      <c r="I135" s="81">
        <f t="shared" si="13"/>
        <v>50</v>
      </c>
      <c r="J135" s="79">
        <v>2</v>
      </c>
      <c r="K135" s="81">
        <f t="shared" si="14"/>
        <v>100</v>
      </c>
      <c r="L135" s="104"/>
    </row>
    <row r="136" spans="1:13" ht="24" customHeight="1" x14ac:dyDescent="0.25">
      <c r="A136" s="70">
        <v>17</v>
      </c>
      <c r="B136" s="49" t="s">
        <v>76</v>
      </c>
      <c r="C136" s="130"/>
      <c r="D136" s="49" t="s">
        <v>735</v>
      </c>
      <c r="E136" s="49" t="s">
        <v>881</v>
      </c>
      <c r="F136" s="71" t="s">
        <v>729</v>
      </c>
      <c r="G136" s="81">
        <v>40</v>
      </c>
      <c r="H136" s="81"/>
      <c r="I136" s="81">
        <f t="shared" si="13"/>
        <v>40</v>
      </c>
      <c r="J136" s="79">
        <v>2</v>
      </c>
      <c r="K136" s="81">
        <f t="shared" si="14"/>
        <v>80</v>
      </c>
      <c r="L136" s="104"/>
    </row>
    <row r="137" spans="1:13" ht="24" customHeight="1" x14ac:dyDescent="0.25">
      <c r="A137" s="70">
        <v>18</v>
      </c>
      <c r="B137" s="49" t="s">
        <v>76</v>
      </c>
      <c r="C137" s="130"/>
      <c r="D137" s="49" t="s">
        <v>736</v>
      </c>
      <c r="E137" s="79" t="s">
        <v>851</v>
      </c>
      <c r="F137" s="71" t="s">
        <v>729</v>
      </c>
      <c r="G137" s="81">
        <v>50</v>
      </c>
      <c r="H137" s="81"/>
      <c r="I137" s="81">
        <f t="shared" si="13"/>
        <v>50</v>
      </c>
      <c r="J137" s="79">
        <v>4</v>
      </c>
      <c r="K137" s="81">
        <f t="shared" si="14"/>
        <v>200</v>
      </c>
      <c r="L137" s="104"/>
    </row>
    <row r="138" spans="1:13" ht="24" customHeight="1" x14ac:dyDescent="0.25">
      <c r="A138" s="70">
        <v>19</v>
      </c>
      <c r="B138" s="49" t="s">
        <v>76</v>
      </c>
      <c r="C138" s="130"/>
      <c r="D138" s="49" t="s">
        <v>737</v>
      </c>
      <c r="E138" s="49" t="s">
        <v>881</v>
      </c>
      <c r="F138" s="71" t="s">
        <v>729</v>
      </c>
      <c r="G138" s="81">
        <v>40</v>
      </c>
      <c r="H138" s="81"/>
      <c r="I138" s="81">
        <f t="shared" si="13"/>
        <v>40</v>
      </c>
      <c r="J138" s="79">
        <v>4</v>
      </c>
      <c r="K138" s="81">
        <f t="shared" si="14"/>
        <v>160</v>
      </c>
      <c r="L138" s="104"/>
    </row>
    <row r="139" spans="1:13" ht="24" customHeight="1" x14ac:dyDescent="0.25">
      <c r="A139" s="70">
        <v>20</v>
      </c>
      <c r="B139" s="49" t="s">
        <v>76</v>
      </c>
      <c r="C139" s="130" t="s">
        <v>738</v>
      </c>
      <c r="D139" s="49" t="s">
        <v>739</v>
      </c>
      <c r="E139" s="82" t="s">
        <v>708</v>
      </c>
      <c r="F139" s="71" t="s">
        <v>205</v>
      </c>
      <c r="G139" s="60">
        <v>57272</v>
      </c>
      <c r="H139" s="60"/>
      <c r="I139" s="60">
        <f t="shared" si="13"/>
        <v>57272</v>
      </c>
      <c r="J139" s="79">
        <v>1</v>
      </c>
      <c r="K139" s="81">
        <f t="shared" si="14"/>
        <v>57272</v>
      </c>
      <c r="L139" s="104"/>
    </row>
    <row r="140" spans="1:13" ht="24" customHeight="1" x14ac:dyDescent="0.25">
      <c r="A140" s="70">
        <v>21</v>
      </c>
      <c r="B140" s="49" t="s">
        <v>76</v>
      </c>
      <c r="C140" s="130"/>
      <c r="D140" s="49" t="s">
        <v>739</v>
      </c>
      <c r="E140" s="82" t="s">
        <v>709</v>
      </c>
      <c r="F140" s="71" t="s">
        <v>205</v>
      </c>
      <c r="G140" s="60">
        <v>59424</v>
      </c>
      <c r="H140" s="60"/>
      <c r="I140" s="60">
        <f t="shared" si="13"/>
        <v>59424</v>
      </c>
      <c r="J140" s="79">
        <v>1</v>
      </c>
      <c r="K140" s="81">
        <f t="shared" si="14"/>
        <v>59424</v>
      </c>
      <c r="L140" s="104"/>
    </row>
    <row r="141" spans="1:13" ht="24" customHeight="1" x14ac:dyDescent="0.25">
      <c r="A141" s="70">
        <v>22</v>
      </c>
      <c r="B141" s="49" t="s">
        <v>76</v>
      </c>
      <c r="C141" s="130"/>
      <c r="D141" s="49" t="s">
        <v>740</v>
      </c>
      <c r="E141" s="79" t="s">
        <v>741</v>
      </c>
      <c r="F141" s="71" t="s">
        <v>712</v>
      </c>
      <c r="G141" s="81">
        <v>17600</v>
      </c>
      <c r="H141" s="81"/>
      <c r="I141" s="60">
        <f t="shared" si="13"/>
        <v>17600</v>
      </c>
      <c r="J141" s="79">
        <v>1</v>
      </c>
      <c r="K141" s="81">
        <f t="shared" si="14"/>
        <v>17600</v>
      </c>
      <c r="L141" s="104"/>
    </row>
    <row r="142" spans="1:13" ht="24" customHeight="1" x14ac:dyDescent="0.25">
      <c r="A142" s="70">
        <v>23</v>
      </c>
      <c r="B142" s="49" t="s">
        <v>76</v>
      </c>
      <c r="C142" s="130"/>
      <c r="D142" s="49" t="s">
        <v>740</v>
      </c>
      <c r="E142" s="79" t="s">
        <v>742</v>
      </c>
      <c r="F142" s="71" t="s">
        <v>712</v>
      </c>
      <c r="G142" s="81">
        <v>18700</v>
      </c>
      <c r="H142" s="81"/>
      <c r="I142" s="60">
        <f t="shared" si="13"/>
        <v>18700</v>
      </c>
      <c r="J142" s="79">
        <v>2</v>
      </c>
      <c r="K142" s="81">
        <f t="shared" si="14"/>
        <v>37400</v>
      </c>
      <c r="L142" s="104"/>
    </row>
    <row r="143" spans="1:13" ht="24" customHeight="1" x14ac:dyDescent="0.25">
      <c r="A143" s="70">
        <v>24</v>
      </c>
      <c r="B143" s="49" t="s">
        <v>76</v>
      </c>
      <c r="C143" s="130"/>
      <c r="D143" s="49" t="s">
        <v>740</v>
      </c>
      <c r="E143" s="79" t="s">
        <v>743</v>
      </c>
      <c r="F143" s="71" t="s">
        <v>712</v>
      </c>
      <c r="G143" s="81">
        <v>33000</v>
      </c>
      <c r="H143" s="81"/>
      <c r="I143" s="60">
        <f t="shared" si="13"/>
        <v>33000</v>
      </c>
      <c r="J143" s="79">
        <v>1</v>
      </c>
      <c r="K143" s="81">
        <f t="shared" si="14"/>
        <v>33000</v>
      </c>
      <c r="L143" s="104"/>
    </row>
    <row r="144" spans="1:13" ht="24" customHeight="1" x14ac:dyDescent="0.25">
      <c r="A144" s="70">
        <v>25</v>
      </c>
      <c r="B144" s="49" t="s">
        <v>76</v>
      </c>
      <c r="C144" s="130"/>
      <c r="D144" s="49" t="s">
        <v>744</v>
      </c>
      <c r="E144" s="79" t="s">
        <v>745</v>
      </c>
      <c r="F144" s="71" t="s">
        <v>712</v>
      </c>
      <c r="G144" s="81">
        <v>36300</v>
      </c>
      <c r="H144" s="81"/>
      <c r="I144" s="60">
        <f t="shared" si="13"/>
        <v>36300</v>
      </c>
      <c r="J144" s="79">
        <v>0.6</v>
      </c>
      <c r="K144" s="81">
        <f t="shared" si="14"/>
        <v>21780</v>
      </c>
      <c r="L144" s="104"/>
    </row>
    <row r="145" spans="1:12" ht="24" customHeight="1" x14ac:dyDescent="0.25">
      <c r="A145" s="70">
        <v>26</v>
      </c>
      <c r="B145" s="49" t="s">
        <v>76</v>
      </c>
      <c r="C145" s="130"/>
      <c r="D145" s="49" t="s">
        <v>746</v>
      </c>
      <c r="E145" s="79" t="s">
        <v>715</v>
      </c>
      <c r="F145" s="71" t="s">
        <v>716</v>
      </c>
      <c r="G145" s="81">
        <v>92430</v>
      </c>
      <c r="H145" s="81">
        <v>7800</v>
      </c>
      <c r="I145" s="60">
        <f t="shared" si="13"/>
        <v>100230</v>
      </c>
      <c r="J145" s="79">
        <v>1</v>
      </c>
      <c r="K145" s="81">
        <f t="shared" si="14"/>
        <v>100230</v>
      </c>
      <c r="L145" s="104"/>
    </row>
    <row r="146" spans="1:12" ht="24" customHeight="1" x14ac:dyDescent="0.25">
      <c r="A146" s="70">
        <v>27</v>
      </c>
      <c r="B146" s="49" t="s">
        <v>76</v>
      </c>
      <c r="C146" s="130"/>
      <c r="D146" s="49" t="s">
        <v>747</v>
      </c>
      <c r="E146" s="79" t="s">
        <v>715</v>
      </c>
      <c r="F146" s="71" t="s">
        <v>716</v>
      </c>
      <c r="G146" s="81">
        <v>82620</v>
      </c>
      <c r="H146" s="81">
        <v>8500</v>
      </c>
      <c r="I146" s="60">
        <f t="shared" si="13"/>
        <v>91120</v>
      </c>
      <c r="J146" s="79">
        <v>1</v>
      </c>
      <c r="K146" s="81">
        <f t="shared" si="14"/>
        <v>91120</v>
      </c>
      <c r="L146" s="104"/>
    </row>
    <row r="147" spans="1:12" ht="24" customHeight="1" x14ac:dyDescent="0.25">
      <c r="A147" s="70">
        <v>28</v>
      </c>
      <c r="B147" s="49" t="s">
        <v>76</v>
      </c>
      <c r="C147" s="130"/>
      <c r="D147" s="49" t="s">
        <v>748</v>
      </c>
      <c r="E147" s="79" t="s">
        <v>722</v>
      </c>
      <c r="F147" s="71" t="s">
        <v>389</v>
      </c>
      <c r="G147" s="81">
        <v>90</v>
      </c>
      <c r="H147" s="81">
        <v>50</v>
      </c>
      <c r="I147" s="60">
        <f t="shared" si="13"/>
        <v>140</v>
      </c>
      <c r="J147" s="79">
        <v>8</v>
      </c>
      <c r="K147" s="81">
        <f t="shared" si="14"/>
        <v>1120</v>
      </c>
      <c r="L147" s="104"/>
    </row>
    <row r="148" spans="1:12" ht="24" customHeight="1" x14ac:dyDescent="0.25">
      <c r="A148" s="70">
        <v>29</v>
      </c>
      <c r="B148" s="49" t="s">
        <v>76</v>
      </c>
      <c r="C148" s="130"/>
      <c r="D148" s="49" t="s">
        <v>749</v>
      </c>
      <c r="E148" s="79" t="s">
        <v>722</v>
      </c>
      <c r="F148" s="71" t="s">
        <v>389</v>
      </c>
      <c r="G148" s="81">
        <v>112</v>
      </c>
      <c r="H148" s="81">
        <v>70</v>
      </c>
      <c r="I148" s="81">
        <f t="shared" si="13"/>
        <v>182</v>
      </c>
      <c r="J148" s="79">
        <v>4</v>
      </c>
      <c r="K148" s="81">
        <f t="shared" si="14"/>
        <v>728</v>
      </c>
      <c r="L148" s="104"/>
    </row>
    <row r="149" spans="1:12" ht="24" customHeight="1" x14ac:dyDescent="0.25">
      <c r="A149" s="70">
        <v>30</v>
      </c>
      <c r="B149" s="49" t="s">
        <v>76</v>
      </c>
      <c r="C149" s="130"/>
      <c r="D149" s="49" t="s">
        <v>750</v>
      </c>
      <c r="E149" s="79" t="s">
        <v>724</v>
      </c>
      <c r="F149" s="71" t="s">
        <v>205</v>
      </c>
      <c r="G149" s="81">
        <v>60000</v>
      </c>
      <c r="H149" s="81"/>
      <c r="I149" s="60">
        <f t="shared" si="13"/>
        <v>60000</v>
      </c>
      <c r="J149" s="79">
        <v>1</v>
      </c>
      <c r="K149" s="81">
        <f t="shared" si="14"/>
        <v>60000</v>
      </c>
      <c r="L149" s="104"/>
    </row>
    <row r="150" spans="1:12" ht="24" customHeight="1" x14ac:dyDescent="0.25">
      <c r="A150" s="70">
        <v>31</v>
      </c>
      <c r="B150" s="49" t="s">
        <v>76</v>
      </c>
      <c r="C150" s="130" t="s">
        <v>751</v>
      </c>
      <c r="D150" s="49" t="s">
        <v>752</v>
      </c>
      <c r="E150" s="82" t="s">
        <v>852</v>
      </c>
      <c r="F150" s="71" t="s">
        <v>469</v>
      </c>
      <c r="G150" s="60">
        <v>50</v>
      </c>
      <c r="H150" s="60"/>
      <c r="I150" s="60">
        <f>SUM(G150:H150)</f>
        <v>50</v>
      </c>
      <c r="J150" s="49">
        <v>6</v>
      </c>
      <c r="K150" s="81">
        <f t="shared" si="14"/>
        <v>300</v>
      </c>
      <c r="L150" s="104"/>
    </row>
    <row r="151" spans="1:12" ht="24" customHeight="1" x14ac:dyDescent="0.25">
      <c r="A151" s="70">
        <v>32</v>
      </c>
      <c r="B151" s="49" t="s">
        <v>76</v>
      </c>
      <c r="C151" s="130"/>
      <c r="D151" s="49" t="s">
        <v>753</v>
      </c>
      <c r="E151" s="79" t="s">
        <v>754</v>
      </c>
      <c r="F151" s="71" t="s">
        <v>729</v>
      </c>
      <c r="G151" s="81">
        <v>5</v>
      </c>
      <c r="H151" s="81"/>
      <c r="I151" s="81">
        <f>SUM(G151:H151)</f>
        <v>5</v>
      </c>
      <c r="J151" s="79">
        <v>6</v>
      </c>
      <c r="K151" s="81">
        <f t="shared" si="14"/>
        <v>30</v>
      </c>
      <c r="L151" s="104"/>
    </row>
    <row r="152" spans="1:12" ht="24" customHeight="1" x14ac:dyDescent="0.25">
      <c r="A152" s="70">
        <v>33</v>
      </c>
      <c r="B152" s="49" t="s">
        <v>76</v>
      </c>
      <c r="C152" s="130"/>
      <c r="D152" s="49" t="s">
        <v>755</v>
      </c>
      <c r="E152" s="82" t="s">
        <v>850</v>
      </c>
      <c r="F152" s="71" t="s">
        <v>729</v>
      </c>
      <c r="G152" s="81">
        <v>10</v>
      </c>
      <c r="H152" s="81"/>
      <c r="I152" s="81">
        <f>SUM(G152:H152)</f>
        <v>10</v>
      </c>
      <c r="J152" s="79">
        <v>20</v>
      </c>
      <c r="K152" s="81">
        <f t="shared" si="14"/>
        <v>200</v>
      </c>
      <c r="L152" s="104"/>
    </row>
    <row r="153" spans="1:12" ht="24" customHeight="1" x14ac:dyDescent="0.25">
      <c r="A153" s="70">
        <v>34</v>
      </c>
      <c r="B153" s="49" t="s">
        <v>76</v>
      </c>
      <c r="C153" s="130"/>
      <c r="D153" s="49" t="s">
        <v>756</v>
      </c>
      <c r="E153" s="79" t="s">
        <v>728</v>
      </c>
      <c r="F153" s="71" t="s">
        <v>729</v>
      </c>
      <c r="G153" s="81">
        <v>5</v>
      </c>
      <c r="H153" s="81"/>
      <c r="I153" s="81">
        <f>SUM(G153:H153)</f>
        <v>5</v>
      </c>
      <c r="J153" s="79">
        <v>20</v>
      </c>
      <c r="K153" s="81">
        <f t="shared" si="14"/>
        <v>100</v>
      </c>
      <c r="L153" s="104"/>
    </row>
    <row r="154" spans="1:12" ht="24" customHeight="1" x14ac:dyDescent="0.25">
      <c r="A154" s="70">
        <v>35</v>
      </c>
      <c r="B154" s="49" t="s">
        <v>76</v>
      </c>
      <c r="C154" s="130"/>
      <c r="D154" s="49" t="s">
        <v>757</v>
      </c>
      <c r="E154" s="79" t="s">
        <v>851</v>
      </c>
      <c r="F154" s="71" t="s">
        <v>729</v>
      </c>
      <c r="G154" s="81">
        <v>50</v>
      </c>
      <c r="H154" s="81"/>
      <c r="I154" s="81">
        <f t="shared" ref="I154:I161" si="15">SUM(G154:H154)</f>
        <v>50</v>
      </c>
      <c r="J154" s="79">
        <v>6</v>
      </c>
      <c r="K154" s="81">
        <f t="shared" si="14"/>
        <v>300</v>
      </c>
      <c r="L154" s="104"/>
    </row>
    <row r="155" spans="1:12" ht="24" customHeight="1" x14ac:dyDescent="0.25">
      <c r="A155" s="70">
        <v>36</v>
      </c>
      <c r="B155" s="49" t="s">
        <v>76</v>
      </c>
      <c r="C155" s="130"/>
      <c r="D155" s="49" t="s">
        <v>758</v>
      </c>
      <c r="E155" s="49" t="s">
        <v>881</v>
      </c>
      <c r="F155" s="71" t="s">
        <v>729</v>
      </c>
      <c r="G155" s="81">
        <v>40</v>
      </c>
      <c r="H155" s="81"/>
      <c r="I155" s="81">
        <f t="shared" si="15"/>
        <v>40</v>
      </c>
      <c r="J155" s="79">
        <v>6</v>
      </c>
      <c r="K155" s="81">
        <f t="shared" si="14"/>
        <v>240</v>
      </c>
      <c r="L155" s="104"/>
    </row>
    <row r="156" spans="1:12" ht="24" customHeight="1" x14ac:dyDescent="0.25">
      <c r="A156" s="70">
        <v>37</v>
      </c>
      <c r="B156" s="49" t="s">
        <v>76</v>
      </c>
      <c r="C156" s="130"/>
      <c r="D156" s="49" t="s">
        <v>759</v>
      </c>
      <c r="E156" s="79" t="s">
        <v>851</v>
      </c>
      <c r="F156" s="71" t="s">
        <v>729</v>
      </c>
      <c r="G156" s="81">
        <v>50</v>
      </c>
      <c r="H156" s="81"/>
      <c r="I156" s="81">
        <f t="shared" si="15"/>
        <v>50</v>
      </c>
      <c r="J156" s="79">
        <v>4</v>
      </c>
      <c r="K156" s="81">
        <f t="shared" si="14"/>
        <v>200</v>
      </c>
      <c r="L156" s="104"/>
    </row>
    <row r="157" spans="1:12" ht="24" customHeight="1" x14ac:dyDescent="0.25">
      <c r="A157" s="70">
        <v>38</v>
      </c>
      <c r="B157" s="49" t="s">
        <v>76</v>
      </c>
      <c r="C157" s="130"/>
      <c r="D157" s="49" t="s">
        <v>760</v>
      </c>
      <c r="E157" s="49" t="s">
        <v>881</v>
      </c>
      <c r="F157" s="71" t="s">
        <v>729</v>
      </c>
      <c r="G157" s="81">
        <v>40</v>
      </c>
      <c r="H157" s="81"/>
      <c r="I157" s="81">
        <f t="shared" si="15"/>
        <v>40</v>
      </c>
      <c r="J157" s="79">
        <v>4</v>
      </c>
      <c r="K157" s="81">
        <f t="shared" si="14"/>
        <v>160</v>
      </c>
      <c r="L157" s="104"/>
    </row>
    <row r="158" spans="1:12" ht="24" customHeight="1" x14ac:dyDescent="0.25">
      <c r="A158" s="70">
        <v>39</v>
      </c>
      <c r="B158" s="49" t="s">
        <v>76</v>
      </c>
      <c r="C158" s="130"/>
      <c r="D158" s="49" t="s">
        <v>761</v>
      </c>
      <c r="E158" s="79" t="s">
        <v>851</v>
      </c>
      <c r="F158" s="71" t="s">
        <v>729</v>
      </c>
      <c r="G158" s="81">
        <v>50</v>
      </c>
      <c r="H158" s="81"/>
      <c r="I158" s="81">
        <f t="shared" si="15"/>
        <v>50</v>
      </c>
      <c r="J158" s="79">
        <v>4</v>
      </c>
      <c r="K158" s="81">
        <f t="shared" si="14"/>
        <v>200</v>
      </c>
      <c r="L158" s="104"/>
    </row>
    <row r="159" spans="1:12" ht="24" customHeight="1" x14ac:dyDescent="0.25">
      <c r="A159" s="70">
        <v>40</v>
      </c>
      <c r="B159" s="49" t="s">
        <v>76</v>
      </c>
      <c r="C159" s="130"/>
      <c r="D159" s="49" t="s">
        <v>762</v>
      </c>
      <c r="E159" s="49" t="s">
        <v>881</v>
      </c>
      <c r="F159" s="71" t="s">
        <v>729</v>
      </c>
      <c r="G159" s="81">
        <v>40</v>
      </c>
      <c r="H159" s="81"/>
      <c r="I159" s="81">
        <f t="shared" si="15"/>
        <v>40</v>
      </c>
      <c r="J159" s="79">
        <v>4</v>
      </c>
      <c r="K159" s="81">
        <f t="shared" si="14"/>
        <v>160</v>
      </c>
      <c r="L159" s="104"/>
    </row>
    <row r="160" spans="1:12" ht="24" customHeight="1" x14ac:dyDescent="0.25">
      <c r="A160" s="70">
        <v>41</v>
      </c>
      <c r="B160" s="49" t="s">
        <v>76</v>
      </c>
      <c r="C160" s="130"/>
      <c r="D160" s="49" t="s">
        <v>763</v>
      </c>
      <c r="E160" s="79" t="s">
        <v>851</v>
      </c>
      <c r="F160" s="71" t="s">
        <v>729</v>
      </c>
      <c r="G160" s="81">
        <v>50</v>
      </c>
      <c r="H160" s="81"/>
      <c r="I160" s="81">
        <f t="shared" si="15"/>
        <v>50</v>
      </c>
      <c r="J160" s="79">
        <v>4</v>
      </c>
      <c r="K160" s="81">
        <f t="shared" si="14"/>
        <v>200</v>
      </c>
      <c r="L160" s="104"/>
    </row>
    <row r="161" spans="1:12" ht="24" customHeight="1" x14ac:dyDescent="0.25">
      <c r="A161" s="70">
        <v>42</v>
      </c>
      <c r="B161" s="49" t="s">
        <v>76</v>
      </c>
      <c r="C161" s="130"/>
      <c r="D161" s="49" t="s">
        <v>764</v>
      </c>
      <c r="E161" s="49" t="s">
        <v>881</v>
      </c>
      <c r="F161" s="71" t="s">
        <v>729</v>
      </c>
      <c r="G161" s="81">
        <v>40</v>
      </c>
      <c r="H161" s="81"/>
      <c r="I161" s="81">
        <f t="shared" si="15"/>
        <v>40</v>
      </c>
      <c r="J161" s="79">
        <v>4</v>
      </c>
      <c r="K161" s="81">
        <f t="shared" si="14"/>
        <v>160</v>
      </c>
      <c r="L161" s="104"/>
    </row>
    <row r="162" spans="1:12" ht="24" customHeight="1" x14ac:dyDescent="0.25">
      <c r="A162" s="70">
        <v>43</v>
      </c>
      <c r="B162" s="49" t="s">
        <v>76</v>
      </c>
      <c r="C162" s="130" t="s">
        <v>765</v>
      </c>
      <c r="D162" s="49" t="s">
        <v>203</v>
      </c>
      <c r="E162" s="82" t="s">
        <v>204</v>
      </c>
      <c r="F162" s="71" t="s">
        <v>205</v>
      </c>
      <c r="G162" s="60">
        <v>28636</v>
      </c>
      <c r="H162" s="60"/>
      <c r="I162" s="60">
        <f>SUM(F162:G162)</f>
        <v>28636</v>
      </c>
      <c r="J162" s="49">
        <v>2</v>
      </c>
      <c r="K162" s="81">
        <f>I162*J162</f>
        <v>57272</v>
      </c>
      <c r="L162" s="104"/>
    </row>
    <row r="163" spans="1:12" ht="24" customHeight="1" x14ac:dyDescent="0.25">
      <c r="A163" s="70">
        <v>44</v>
      </c>
      <c r="B163" s="49" t="s">
        <v>76</v>
      </c>
      <c r="C163" s="130"/>
      <c r="D163" s="49" t="s">
        <v>203</v>
      </c>
      <c r="E163" s="82" t="s">
        <v>766</v>
      </c>
      <c r="F163" s="71" t="s">
        <v>205</v>
      </c>
      <c r="G163" s="60">
        <v>28636</v>
      </c>
      <c r="H163" s="60"/>
      <c r="I163" s="60">
        <f>SUM(F163:G163)</f>
        <v>28636</v>
      </c>
      <c r="J163" s="49">
        <v>2</v>
      </c>
      <c r="K163" s="81">
        <f>I163*J163</f>
        <v>57272</v>
      </c>
      <c r="L163" s="104"/>
    </row>
    <row r="164" spans="1:12" ht="24" customHeight="1" x14ac:dyDescent="0.25">
      <c r="A164" s="70">
        <v>45</v>
      </c>
      <c r="B164" s="49" t="s">
        <v>76</v>
      </c>
      <c r="C164" s="130"/>
      <c r="D164" s="49" t="s">
        <v>767</v>
      </c>
      <c r="E164" s="49" t="s">
        <v>722</v>
      </c>
      <c r="F164" s="82" t="s">
        <v>389</v>
      </c>
      <c r="G164" s="60">
        <v>90</v>
      </c>
      <c r="H164" s="60">
        <v>50</v>
      </c>
      <c r="I164" s="60">
        <f>SUM(F164:G164)</f>
        <v>90</v>
      </c>
      <c r="J164" s="49">
        <v>18</v>
      </c>
      <c r="K164" s="81">
        <f>I164*J164</f>
        <v>1620</v>
      </c>
      <c r="L164" s="104"/>
    </row>
    <row r="165" spans="1:12" ht="24" customHeight="1" x14ac:dyDescent="0.25">
      <c r="A165" s="70">
        <v>46</v>
      </c>
      <c r="B165" s="49" t="s">
        <v>76</v>
      </c>
      <c r="C165" s="130" t="s">
        <v>206</v>
      </c>
      <c r="D165" s="49" t="s">
        <v>207</v>
      </c>
      <c r="E165" s="82" t="s">
        <v>204</v>
      </c>
      <c r="F165" s="71" t="s">
        <v>205</v>
      </c>
      <c r="G165" s="60">
        <v>28636</v>
      </c>
      <c r="H165" s="60"/>
      <c r="I165" s="60">
        <f>SUM(F165:G165)</f>
        <v>28636</v>
      </c>
      <c r="J165" s="49">
        <v>5</v>
      </c>
      <c r="K165" s="81">
        <f>I165*J165</f>
        <v>143180</v>
      </c>
      <c r="L165" s="104"/>
    </row>
    <row r="166" spans="1:12" ht="24" customHeight="1" x14ac:dyDescent="0.25">
      <c r="A166" s="70">
        <v>47</v>
      </c>
      <c r="B166" s="49" t="s">
        <v>76</v>
      </c>
      <c r="C166" s="130"/>
      <c r="D166" s="49" t="s">
        <v>768</v>
      </c>
      <c r="E166" s="82" t="s">
        <v>769</v>
      </c>
      <c r="F166" s="71" t="s">
        <v>205</v>
      </c>
      <c r="G166" s="60">
        <v>5038</v>
      </c>
      <c r="H166" s="60"/>
      <c r="I166" s="60">
        <f>SUM(F166:G166)</f>
        <v>5038</v>
      </c>
      <c r="J166" s="49">
        <v>4</v>
      </c>
      <c r="K166" s="81">
        <f>I166*J166</f>
        <v>20152</v>
      </c>
      <c r="L166" s="104"/>
    </row>
    <row r="167" spans="1:12" ht="24" customHeight="1" x14ac:dyDescent="0.25">
      <c r="A167" s="70">
        <v>48</v>
      </c>
      <c r="B167" s="49" t="s">
        <v>76</v>
      </c>
      <c r="C167" s="130"/>
      <c r="D167" s="49" t="s">
        <v>770</v>
      </c>
      <c r="E167" s="79" t="s">
        <v>745</v>
      </c>
      <c r="F167" s="71" t="s">
        <v>712</v>
      </c>
      <c r="G167" s="81">
        <v>36300</v>
      </c>
      <c r="H167" s="81"/>
      <c r="I167" s="60">
        <f t="shared" ref="I167:I176" si="16">SUM(G167:H167)</f>
        <v>36300</v>
      </c>
      <c r="J167" s="79">
        <v>1.2</v>
      </c>
      <c r="K167" s="81">
        <f t="shared" ref="K167:K182" si="17">I167*J167</f>
        <v>43560</v>
      </c>
      <c r="L167" s="104"/>
    </row>
    <row r="168" spans="1:12" ht="24" customHeight="1" x14ac:dyDescent="0.25">
      <c r="A168" s="70">
        <v>49</v>
      </c>
      <c r="B168" s="49" t="s">
        <v>76</v>
      </c>
      <c r="C168" s="130"/>
      <c r="D168" s="49" t="s">
        <v>771</v>
      </c>
      <c r="E168" s="79" t="s">
        <v>722</v>
      </c>
      <c r="F168" s="71" t="s">
        <v>389</v>
      </c>
      <c r="G168" s="81">
        <v>112</v>
      </c>
      <c r="H168" s="81">
        <v>70</v>
      </c>
      <c r="I168" s="81">
        <f t="shared" si="16"/>
        <v>182</v>
      </c>
      <c r="J168" s="79">
        <v>8</v>
      </c>
      <c r="K168" s="81">
        <f t="shared" si="17"/>
        <v>1456</v>
      </c>
      <c r="L168" s="104"/>
    </row>
    <row r="169" spans="1:12" ht="24" customHeight="1" x14ac:dyDescent="0.25">
      <c r="A169" s="70">
        <v>50</v>
      </c>
      <c r="B169" s="49" t="s">
        <v>76</v>
      </c>
      <c r="C169" s="130" t="s">
        <v>772</v>
      </c>
      <c r="D169" s="49" t="s">
        <v>773</v>
      </c>
      <c r="E169" s="82" t="s">
        <v>853</v>
      </c>
      <c r="F169" s="71" t="s">
        <v>469</v>
      </c>
      <c r="G169" s="60">
        <v>20</v>
      </c>
      <c r="H169" s="60"/>
      <c r="I169" s="60">
        <f t="shared" si="16"/>
        <v>20</v>
      </c>
      <c r="J169" s="49">
        <v>10</v>
      </c>
      <c r="K169" s="81">
        <f t="shared" si="17"/>
        <v>200</v>
      </c>
      <c r="L169" s="104"/>
    </row>
    <row r="170" spans="1:12" ht="24" customHeight="1" x14ac:dyDescent="0.25">
      <c r="A170" s="70">
        <v>51</v>
      </c>
      <c r="B170" s="49" t="s">
        <v>76</v>
      </c>
      <c r="C170" s="130"/>
      <c r="D170" s="49" t="s">
        <v>774</v>
      </c>
      <c r="E170" s="49" t="s">
        <v>890</v>
      </c>
      <c r="F170" s="71" t="s">
        <v>729</v>
      </c>
      <c r="G170" s="81">
        <v>20</v>
      </c>
      <c r="H170" s="81"/>
      <c r="I170" s="81">
        <f t="shared" si="16"/>
        <v>20</v>
      </c>
      <c r="J170" s="49">
        <v>10</v>
      </c>
      <c r="K170" s="81">
        <f t="shared" si="17"/>
        <v>200</v>
      </c>
      <c r="L170" s="104"/>
    </row>
    <row r="171" spans="1:12" ht="24" customHeight="1" x14ac:dyDescent="0.25">
      <c r="A171" s="70">
        <v>52</v>
      </c>
      <c r="B171" s="49" t="s">
        <v>76</v>
      </c>
      <c r="C171" s="130"/>
      <c r="D171" s="49" t="s">
        <v>775</v>
      </c>
      <c r="E171" s="79" t="s">
        <v>776</v>
      </c>
      <c r="F171" s="71" t="s">
        <v>729</v>
      </c>
      <c r="G171" s="81">
        <v>5</v>
      </c>
      <c r="H171" s="81"/>
      <c r="I171" s="81">
        <f t="shared" si="16"/>
        <v>5</v>
      </c>
      <c r="J171" s="49">
        <v>10</v>
      </c>
      <c r="K171" s="81">
        <f t="shared" si="17"/>
        <v>50</v>
      </c>
      <c r="L171" s="104"/>
    </row>
    <row r="172" spans="1:12" ht="24" customHeight="1" x14ac:dyDescent="0.25">
      <c r="A172" s="70">
        <v>53</v>
      </c>
      <c r="B172" s="49" t="s">
        <v>76</v>
      </c>
      <c r="C172" s="130"/>
      <c r="D172" s="49" t="s">
        <v>777</v>
      </c>
      <c r="E172" s="79" t="s">
        <v>851</v>
      </c>
      <c r="F172" s="71" t="s">
        <v>729</v>
      </c>
      <c r="G172" s="81">
        <v>50</v>
      </c>
      <c r="H172" s="81"/>
      <c r="I172" s="81">
        <f t="shared" si="16"/>
        <v>50</v>
      </c>
      <c r="J172" s="79">
        <v>8</v>
      </c>
      <c r="K172" s="81">
        <f t="shared" si="17"/>
        <v>400</v>
      </c>
      <c r="L172" s="104"/>
    </row>
    <row r="173" spans="1:12" ht="24" customHeight="1" x14ac:dyDescent="0.25">
      <c r="A173" s="70">
        <v>54</v>
      </c>
      <c r="B173" s="49" t="s">
        <v>76</v>
      </c>
      <c r="C173" s="130"/>
      <c r="D173" s="49" t="s">
        <v>778</v>
      </c>
      <c r="E173" s="49" t="s">
        <v>881</v>
      </c>
      <c r="F173" s="71" t="s">
        <v>729</v>
      </c>
      <c r="G173" s="81">
        <v>40</v>
      </c>
      <c r="H173" s="81"/>
      <c r="I173" s="81">
        <f t="shared" si="16"/>
        <v>40</v>
      </c>
      <c r="J173" s="79">
        <v>8</v>
      </c>
      <c r="K173" s="81">
        <f t="shared" si="17"/>
        <v>320</v>
      </c>
      <c r="L173" s="104"/>
    </row>
    <row r="174" spans="1:12" ht="24" customHeight="1" x14ac:dyDescent="0.25">
      <c r="A174" s="70">
        <v>55</v>
      </c>
      <c r="B174" s="49" t="s">
        <v>76</v>
      </c>
      <c r="C174" s="130"/>
      <c r="D174" s="49" t="s">
        <v>779</v>
      </c>
      <c r="E174" s="79" t="s">
        <v>754</v>
      </c>
      <c r="F174" s="71" t="s">
        <v>729</v>
      </c>
      <c r="G174" s="81">
        <v>5</v>
      </c>
      <c r="H174" s="81"/>
      <c r="I174" s="81">
        <f t="shared" si="16"/>
        <v>5</v>
      </c>
      <c r="J174" s="79">
        <v>8</v>
      </c>
      <c r="K174" s="81">
        <f t="shared" si="17"/>
        <v>40</v>
      </c>
      <c r="L174" s="104"/>
    </row>
    <row r="175" spans="1:12" ht="24" customHeight="1" x14ac:dyDescent="0.25">
      <c r="A175" s="70">
        <v>56</v>
      </c>
      <c r="B175" s="49" t="s">
        <v>76</v>
      </c>
      <c r="C175" s="130"/>
      <c r="D175" s="49" t="s">
        <v>780</v>
      </c>
      <c r="E175" s="79" t="s">
        <v>851</v>
      </c>
      <c r="F175" s="71" t="s">
        <v>729</v>
      </c>
      <c r="G175" s="81">
        <v>50</v>
      </c>
      <c r="H175" s="81"/>
      <c r="I175" s="81">
        <f t="shared" si="16"/>
        <v>50</v>
      </c>
      <c r="J175" s="79">
        <v>4</v>
      </c>
      <c r="K175" s="81">
        <f t="shared" si="17"/>
        <v>200</v>
      </c>
      <c r="L175" s="104"/>
    </row>
    <row r="176" spans="1:12" ht="24" customHeight="1" x14ac:dyDescent="0.25">
      <c r="A176" s="70">
        <v>57</v>
      </c>
      <c r="B176" s="49" t="s">
        <v>76</v>
      </c>
      <c r="C176" s="130"/>
      <c r="D176" s="49" t="s">
        <v>781</v>
      </c>
      <c r="E176" s="49" t="s">
        <v>881</v>
      </c>
      <c r="F176" s="71" t="s">
        <v>729</v>
      </c>
      <c r="G176" s="81">
        <v>40</v>
      </c>
      <c r="H176" s="81"/>
      <c r="I176" s="81">
        <f t="shared" si="16"/>
        <v>40</v>
      </c>
      <c r="J176" s="79">
        <v>4</v>
      </c>
      <c r="K176" s="81">
        <f t="shared" si="17"/>
        <v>160</v>
      </c>
      <c r="L176" s="104"/>
    </row>
    <row r="177" spans="1:12" ht="24" customHeight="1" x14ac:dyDescent="0.25">
      <c r="A177" s="70">
        <v>58</v>
      </c>
      <c r="B177" s="49" t="s">
        <v>76</v>
      </c>
      <c r="C177" s="130" t="s">
        <v>208</v>
      </c>
      <c r="D177" s="49" t="s">
        <v>209</v>
      </c>
      <c r="E177" s="82" t="s">
        <v>782</v>
      </c>
      <c r="F177" s="71" t="s">
        <v>205</v>
      </c>
      <c r="G177" s="60">
        <v>382800</v>
      </c>
      <c r="H177" s="60"/>
      <c r="I177" s="60">
        <f>SUM(F177:G177)</f>
        <v>382800</v>
      </c>
      <c r="J177" s="49">
        <v>0.7</v>
      </c>
      <c r="K177" s="81">
        <f t="shared" si="17"/>
        <v>267960</v>
      </c>
      <c r="L177" s="104"/>
    </row>
    <row r="178" spans="1:12" ht="24" customHeight="1" x14ac:dyDescent="0.25">
      <c r="A178" s="70">
        <v>59</v>
      </c>
      <c r="B178" s="49" t="s">
        <v>76</v>
      </c>
      <c r="C178" s="130"/>
      <c r="D178" s="49" t="s">
        <v>210</v>
      </c>
      <c r="E178" s="82" t="s">
        <v>783</v>
      </c>
      <c r="F178" s="71" t="s">
        <v>205</v>
      </c>
      <c r="G178" s="60">
        <v>198000</v>
      </c>
      <c r="H178" s="60"/>
      <c r="I178" s="60">
        <f>SUM(F178:G178)</f>
        <v>198000</v>
      </c>
      <c r="J178" s="49">
        <v>0.7</v>
      </c>
      <c r="K178" s="81">
        <f t="shared" si="17"/>
        <v>138600</v>
      </c>
      <c r="L178" s="104"/>
    </row>
    <row r="179" spans="1:12" ht="24" customHeight="1" x14ac:dyDescent="0.25">
      <c r="A179" s="70">
        <v>60</v>
      </c>
      <c r="B179" s="49" t="s">
        <v>76</v>
      </c>
      <c r="C179" s="130"/>
      <c r="D179" s="49" t="s">
        <v>784</v>
      </c>
      <c r="E179" s="82" t="s">
        <v>785</v>
      </c>
      <c r="F179" s="71" t="s">
        <v>205</v>
      </c>
      <c r="G179" s="60">
        <v>57000</v>
      </c>
      <c r="H179" s="60"/>
      <c r="I179" s="60">
        <f>SUM(F179:G179)</f>
        <v>57000</v>
      </c>
      <c r="J179" s="49">
        <v>2</v>
      </c>
      <c r="K179" s="81">
        <f t="shared" si="17"/>
        <v>114000</v>
      </c>
      <c r="L179" s="104"/>
    </row>
    <row r="180" spans="1:12" ht="24" customHeight="1" x14ac:dyDescent="0.25">
      <c r="A180" s="70">
        <v>61</v>
      </c>
      <c r="B180" s="49" t="s">
        <v>76</v>
      </c>
      <c r="C180" s="130"/>
      <c r="D180" s="49" t="s">
        <v>786</v>
      </c>
      <c r="E180" s="82" t="s">
        <v>787</v>
      </c>
      <c r="F180" s="71" t="s">
        <v>720</v>
      </c>
      <c r="G180" s="60">
        <v>7200</v>
      </c>
      <c r="H180" s="60"/>
      <c r="I180" s="60">
        <f>SUM(F180:G180)</f>
        <v>7200</v>
      </c>
      <c r="J180" s="49">
        <v>2</v>
      </c>
      <c r="K180" s="81">
        <f t="shared" si="17"/>
        <v>14400</v>
      </c>
      <c r="L180" s="104"/>
    </row>
    <row r="181" spans="1:12" ht="24" customHeight="1" x14ac:dyDescent="0.25">
      <c r="A181" s="70">
        <v>62</v>
      </c>
      <c r="B181" s="49" t="s">
        <v>76</v>
      </c>
      <c r="C181" s="130"/>
      <c r="D181" s="49" t="s">
        <v>788</v>
      </c>
      <c r="E181" s="79" t="s">
        <v>789</v>
      </c>
      <c r="F181" s="71" t="s">
        <v>712</v>
      </c>
      <c r="G181" s="81">
        <v>31500</v>
      </c>
      <c r="H181" s="81"/>
      <c r="I181" s="81">
        <f>SUM(G181:H181)</f>
        <v>31500</v>
      </c>
      <c r="J181" s="79">
        <v>4</v>
      </c>
      <c r="K181" s="81">
        <f t="shared" si="17"/>
        <v>126000</v>
      </c>
      <c r="L181" s="104"/>
    </row>
    <row r="182" spans="1:12" ht="24" customHeight="1" x14ac:dyDescent="0.25">
      <c r="A182" s="70">
        <v>63</v>
      </c>
      <c r="B182" s="49" t="s">
        <v>76</v>
      </c>
      <c r="C182" s="130"/>
      <c r="D182" s="49" t="s">
        <v>788</v>
      </c>
      <c r="E182" s="79" t="s">
        <v>790</v>
      </c>
      <c r="F182" s="71" t="s">
        <v>712</v>
      </c>
      <c r="G182" s="81">
        <v>12400</v>
      </c>
      <c r="H182" s="81"/>
      <c r="I182" s="81">
        <f>SUM(G182:H182)</f>
        <v>12400</v>
      </c>
      <c r="J182" s="79">
        <v>14</v>
      </c>
      <c r="K182" s="81">
        <f t="shared" si="17"/>
        <v>173600</v>
      </c>
      <c r="L182" s="104"/>
    </row>
    <row r="183" spans="1:12" ht="24" customHeight="1" x14ac:dyDescent="0.25">
      <c r="A183" s="70">
        <v>64</v>
      </c>
      <c r="B183" s="49" t="s">
        <v>76</v>
      </c>
      <c r="C183" s="130" t="s">
        <v>14</v>
      </c>
      <c r="D183" s="132" t="s">
        <v>80</v>
      </c>
      <c r="E183" s="79" t="s">
        <v>19</v>
      </c>
      <c r="F183" s="80" t="s">
        <v>13</v>
      </c>
      <c r="G183" s="81">
        <v>136780</v>
      </c>
      <c r="H183" s="81"/>
      <c r="I183" s="81">
        <f>SUM(G183:H183)</f>
        <v>136780</v>
      </c>
      <c r="J183" s="79">
        <v>1</v>
      </c>
      <c r="K183" s="81">
        <f>I183*J183</f>
        <v>136780</v>
      </c>
      <c r="L183" s="104"/>
    </row>
    <row r="184" spans="1:12" ht="24" customHeight="1" x14ac:dyDescent="0.25">
      <c r="A184" s="70">
        <v>65</v>
      </c>
      <c r="B184" s="49" t="s">
        <v>76</v>
      </c>
      <c r="C184" s="130"/>
      <c r="D184" s="132"/>
      <c r="E184" s="79" t="s">
        <v>20</v>
      </c>
      <c r="F184" s="80" t="s">
        <v>13</v>
      </c>
      <c r="G184" s="81">
        <v>59600</v>
      </c>
      <c r="H184" s="81"/>
      <c r="I184" s="81">
        <f>SUM(G184:H184)</f>
        <v>59600</v>
      </c>
      <c r="J184" s="79">
        <v>1</v>
      </c>
      <c r="K184" s="81">
        <f>I184*J184</f>
        <v>59600</v>
      </c>
      <c r="L184" s="104"/>
    </row>
    <row r="185" spans="1:12" ht="24" customHeight="1" x14ac:dyDescent="0.25">
      <c r="A185" s="70">
        <v>66</v>
      </c>
      <c r="B185" s="49" t="s">
        <v>76</v>
      </c>
      <c r="C185" s="130"/>
      <c r="D185" s="132"/>
      <c r="E185" s="79" t="s">
        <v>41</v>
      </c>
      <c r="F185" s="80" t="s">
        <v>389</v>
      </c>
      <c r="G185" s="81">
        <v>50000</v>
      </c>
      <c r="H185" s="81"/>
      <c r="I185" s="81">
        <f t="shared" ref="I185:I200" si="18">SUM(G185:H185)</f>
        <v>50000</v>
      </c>
      <c r="J185" s="79">
        <v>1</v>
      </c>
      <c r="K185" s="81">
        <f t="shared" ref="K185:K200" si="19">I185*J185</f>
        <v>50000</v>
      </c>
      <c r="L185" s="104"/>
    </row>
    <row r="186" spans="1:12" ht="24" customHeight="1" x14ac:dyDescent="0.25">
      <c r="A186" s="70">
        <v>67</v>
      </c>
      <c r="B186" s="49" t="s">
        <v>76</v>
      </c>
      <c r="C186" s="130" t="s">
        <v>193</v>
      </c>
      <c r="D186" s="132" t="s">
        <v>194</v>
      </c>
      <c r="E186" s="49" t="s">
        <v>195</v>
      </c>
      <c r="F186" s="83" t="s">
        <v>218</v>
      </c>
      <c r="G186" s="60">
        <v>0</v>
      </c>
      <c r="H186" s="77">
        <v>40000</v>
      </c>
      <c r="I186" s="60">
        <f t="shared" si="18"/>
        <v>40000</v>
      </c>
      <c r="J186" s="49">
        <v>1</v>
      </c>
      <c r="K186" s="81">
        <f t="shared" si="19"/>
        <v>40000</v>
      </c>
      <c r="L186" s="104"/>
    </row>
    <row r="187" spans="1:12" ht="24" customHeight="1" x14ac:dyDescent="0.25">
      <c r="A187" s="70">
        <v>68</v>
      </c>
      <c r="B187" s="49" t="s">
        <v>76</v>
      </c>
      <c r="C187" s="130"/>
      <c r="D187" s="132"/>
      <c r="E187" s="76" t="s">
        <v>196</v>
      </c>
      <c r="F187" s="84" t="s">
        <v>218</v>
      </c>
      <c r="G187" s="60"/>
      <c r="H187" s="60">
        <v>18000</v>
      </c>
      <c r="I187" s="60">
        <f t="shared" si="18"/>
        <v>18000</v>
      </c>
      <c r="J187" s="49">
        <v>1</v>
      </c>
      <c r="K187" s="81">
        <f t="shared" si="19"/>
        <v>18000</v>
      </c>
      <c r="L187" s="104"/>
    </row>
    <row r="188" spans="1:12" ht="24" customHeight="1" x14ac:dyDescent="0.25">
      <c r="A188" s="70">
        <v>69</v>
      </c>
      <c r="B188" s="49" t="s">
        <v>76</v>
      </c>
      <c r="C188" s="130"/>
      <c r="D188" s="132"/>
      <c r="E188" s="76" t="s">
        <v>901</v>
      </c>
      <c r="F188" s="84" t="s">
        <v>902</v>
      </c>
      <c r="G188" s="60">
        <v>100</v>
      </c>
      <c r="H188" s="60"/>
      <c r="I188" s="60">
        <v>100</v>
      </c>
      <c r="J188" s="49">
        <v>15</v>
      </c>
      <c r="K188" s="81">
        <f t="shared" si="19"/>
        <v>1500</v>
      </c>
      <c r="L188" s="104"/>
    </row>
    <row r="189" spans="1:12" ht="24" customHeight="1" x14ac:dyDescent="0.25">
      <c r="A189" s="70">
        <v>70</v>
      </c>
      <c r="B189" s="49" t="s">
        <v>76</v>
      </c>
      <c r="C189" s="130"/>
      <c r="D189" s="132"/>
      <c r="E189" s="79" t="s">
        <v>864</v>
      </c>
      <c r="F189" s="117" t="s">
        <v>469</v>
      </c>
      <c r="G189" s="60">
        <v>30</v>
      </c>
      <c r="H189" s="60"/>
      <c r="I189" s="60">
        <f t="shared" si="18"/>
        <v>30</v>
      </c>
      <c r="J189" s="49">
        <v>26</v>
      </c>
      <c r="K189" s="60">
        <f t="shared" si="19"/>
        <v>780</v>
      </c>
      <c r="L189" s="104"/>
    </row>
    <row r="190" spans="1:12" ht="24" customHeight="1" x14ac:dyDescent="0.25">
      <c r="A190" s="70">
        <v>71</v>
      </c>
      <c r="B190" s="49" t="s">
        <v>76</v>
      </c>
      <c r="C190" s="130"/>
      <c r="D190" s="132"/>
      <c r="E190" s="49" t="s">
        <v>882</v>
      </c>
      <c r="F190" s="117" t="s">
        <v>469</v>
      </c>
      <c r="G190" s="60">
        <v>30</v>
      </c>
      <c r="H190" s="60"/>
      <c r="I190" s="60">
        <f t="shared" si="18"/>
        <v>30</v>
      </c>
      <c r="J190" s="49">
        <v>26</v>
      </c>
      <c r="K190" s="60">
        <f t="shared" si="19"/>
        <v>780</v>
      </c>
      <c r="L190" s="104"/>
    </row>
    <row r="191" spans="1:12" ht="24" customHeight="1" x14ac:dyDescent="0.25">
      <c r="A191" s="70">
        <v>72</v>
      </c>
      <c r="B191" s="49" t="s">
        <v>76</v>
      </c>
      <c r="C191" s="130"/>
      <c r="D191" s="132"/>
      <c r="E191" s="76" t="s">
        <v>197</v>
      </c>
      <c r="F191" s="84" t="s">
        <v>218</v>
      </c>
      <c r="G191" s="60">
        <v>10000</v>
      </c>
      <c r="H191" s="60"/>
      <c r="I191" s="60">
        <f t="shared" si="18"/>
        <v>10000</v>
      </c>
      <c r="J191" s="49">
        <v>1</v>
      </c>
      <c r="K191" s="60">
        <f t="shared" si="19"/>
        <v>10000</v>
      </c>
      <c r="L191" s="104"/>
    </row>
    <row r="192" spans="1:12" ht="24" customHeight="1" x14ac:dyDescent="0.25">
      <c r="A192" s="70">
        <v>73</v>
      </c>
      <c r="B192" s="49" t="s">
        <v>76</v>
      </c>
      <c r="C192" s="130"/>
      <c r="D192" s="132"/>
      <c r="E192" s="79" t="s">
        <v>864</v>
      </c>
      <c r="F192" s="117" t="s">
        <v>469</v>
      </c>
      <c r="G192" s="60">
        <v>30</v>
      </c>
      <c r="H192" s="60"/>
      <c r="I192" s="60">
        <f t="shared" si="18"/>
        <v>30</v>
      </c>
      <c r="J192" s="49">
        <v>12</v>
      </c>
      <c r="K192" s="60">
        <f t="shared" si="19"/>
        <v>360</v>
      </c>
      <c r="L192" s="104"/>
    </row>
    <row r="193" spans="1:12" ht="24" customHeight="1" x14ac:dyDescent="0.25">
      <c r="A193" s="70">
        <v>74</v>
      </c>
      <c r="B193" s="49" t="s">
        <v>76</v>
      </c>
      <c r="C193" s="130"/>
      <c r="D193" s="132"/>
      <c r="E193" s="49" t="s">
        <v>882</v>
      </c>
      <c r="F193" s="117" t="s">
        <v>469</v>
      </c>
      <c r="G193" s="60">
        <v>30</v>
      </c>
      <c r="H193" s="60"/>
      <c r="I193" s="60">
        <f t="shared" si="18"/>
        <v>30</v>
      </c>
      <c r="J193" s="49">
        <v>12</v>
      </c>
      <c r="K193" s="60">
        <f t="shared" si="19"/>
        <v>360</v>
      </c>
      <c r="L193" s="104"/>
    </row>
    <row r="194" spans="1:12" ht="24" customHeight="1" x14ac:dyDescent="0.25">
      <c r="A194" s="70">
        <v>75</v>
      </c>
      <c r="B194" s="49" t="s">
        <v>76</v>
      </c>
      <c r="C194" s="130"/>
      <c r="D194" s="132"/>
      <c r="E194" s="76" t="s">
        <v>198</v>
      </c>
      <c r="F194" s="84" t="s">
        <v>218</v>
      </c>
      <c r="G194" s="60">
        <v>3000</v>
      </c>
      <c r="H194" s="60"/>
      <c r="I194" s="60">
        <f t="shared" si="18"/>
        <v>3000</v>
      </c>
      <c r="J194" s="49">
        <v>1</v>
      </c>
      <c r="K194" s="60">
        <f t="shared" si="19"/>
        <v>3000</v>
      </c>
      <c r="L194" s="104"/>
    </row>
    <row r="195" spans="1:12" ht="24" customHeight="1" x14ac:dyDescent="0.25">
      <c r="A195" s="70">
        <v>76</v>
      </c>
      <c r="B195" s="49" t="s">
        <v>76</v>
      </c>
      <c r="C195" s="130"/>
      <c r="D195" s="132"/>
      <c r="E195" s="79" t="s">
        <v>877</v>
      </c>
      <c r="F195" s="117" t="s">
        <v>469</v>
      </c>
      <c r="G195" s="60">
        <v>120</v>
      </c>
      <c r="H195" s="60"/>
      <c r="I195" s="60">
        <f t="shared" si="18"/>
        <v>120</v>
      </c>
      <c r="J195" s="49">
        <v>2</v>
      </c>
      <c r="K195" s="60">
        <f t="shared" si="19"/>
        <v>240</v>
      </c>
      <c r="L195" s="104"/>
    </row>
    <row r="196" spans="1:12" ht="24" customHeight="1" x14ac:dyDescent="0.25">
      <c r="A196" s="70">
        <v>77</v>
      </c>
      <c r="B196" s="49" t="s">
        <v>76</v>
      </c>
      <c r="C196" s="130"/>
      <c r="D196" s="132"/>
      <c r="E196" s="49" t="s">
        <v>882</v>
      </c>
      <c r="F196" s="117" t="s">
        <v>469</v>
      </c>
      <c r="G196" s="60">
        <v>30</v>
      </c>
      <c r="H196" s="60"/>
      <c r="I196" s="60">
        <f t="shared" si="18"/>
        <v>30</v>
      </c>
      <c r="J196" s="49">
        <v>2</v>
      </c>
      <c r="K196" s="60">
        <f t="shared" si="19"/>
        <v>60</v>
      </c>
      <c r="L196" s="104"/>
    </row>
    <row r="197" spans="1:12" ht="24" customHeight="1" x14ac:dyDescent="0.25">
      <c r="A197" s="70">
        <v>78</v>
      </c>
      <c r="B197" s="49" t="s">
        <v>76</v>
      </c>
      <c r="C197" s="130"/>
      <c r="D197" s="132"/>
      <c r="E197" s="76" t="s">
        <v>199</v>
      </c>
      <c r="F197" s="84" t="s">
        <v>102</v>
      </c>
      <c r="G197" s="60">
        <v>48000</v>
      </c>
      <c r="H197" s="60"/>
      <c r="I197" s="60">
        <f t="shared" si="18"/>
        <v>48000</v>
      </c>
      <c r="J197" s="49">
        <v>1</v>
      </c>
      <c r="K197" s="60">
        <f t="shared" si="19"/>
        <v>48000</v>
      </c>
      <c r="L197" s="104"/>
    </row>
    <row r="198" spans="1:12" ht="24" customHeight="1" x14ac:dyDescent="0.25">
      <c r="A198" s="70">
        <v>79</v>
      </c>
      <c r="B198" s="49" t="s">
        <v>76</v>
      </c>
      <c r="C198" s="130"/>
      <c r="D198" s="132"/>
      <c r="E198" s="79" t="s">
        <v>851</v>
      </c>
      <c r="F198" s="117" t="s">
        <v>469</v>
      </c>
      <c r="G198" s="60">
        <v>50</v>
      </c>
      <c r="H198" s="60"/>
      <c r="I198" s="60">
        <f t="shared" si="18"/>
        <v>50</v>
      </c>
      <c r="J198" s="49">
        <v>6</v>
      </c>
      <c r="K198" s="60">
        <f t="shared" si="19"/>
        <v>300</v>
      </c>
      <c r="L198" s="104"/>
    </row>
    <row r="199" spans="1:12" ht="24" customHeight="1" x14ac:dyDescent="0.25">
      <c r="A199" s="70">
        <v>80</v>
      </c>
      <c r="B199" s="49" t="s">
        <v>76</v>
      </c>
      <c r="C199" s="130"/>
      <c r="D199" s="132"/>
      <c r="E199" s="49" t="s">
        <v>881</v>
      </c>
      <c r="F199" s="117" t="s">
        <v>469</v>
      </c>
      <c r="G199" s="60">
        <v>40</v>
      </c>
      <c r="H199" s="60"/>
      <c r="I199" s="60">
        <f>SUM(G199:H199)</f>
        <v>40</v>
      </c>
      <c r="J199" s="49">
        <v>6</v>
      </c>
      <c r="K199" s="60">
        <f>I199*J199</f>
        <v>240</v>
      </c>
      <c r="L199" s="104"/>
    </row>
    <row r="200" spans="1:12" ht="24" customHeight="1" x14ac:dyDescent="0.25">
      <c r="A200" s="70">
        <v>81</v>
      </c>
      <c r="B200" s="49" t="s">
        <v>76</v>
      </c>
      <c r="C200" s="130"/>
      <c r="D200" s="132"/>
      <c r="E200" s="76" t="s">
        <v>200</v>
      </c>
      <c r="F200" s="71" t="s">
        <v>201</v>
      </c>
      <c r="G200" s="60">
        <v>200000</v>
      </c>
      <c r="H200" s="60"/>
      <c r="I200" s="60">
        <f t="shared" si="18"/>
        <v>200000</v>
      </c>
      <c r="J200" s="49">
        <v>1</v>
      </c>
      <c r="K200" s="60">
        <f t="shared" si="19"/>
        <v>200000</v>
      </c>
      <c r="L200" s="104"/>
    </row>
    <row r="201" spans="1:12" ht="24" customHeight="1" x14ac:dyDescent="0.25">
      <c r="A201" s="62"/>
      <c r="B201" s="21"/>
      <c r="C201" s="63"/>
      <c r="D201" s="39" t="s">
        <v>48</v>
      </c>
      <c r="E201" s="39"/>
      <c r="F201" s="63"/>
      <c r="G201" s="40"/>
      <c r="H201" s="40"/>
      <c r="I201" s="74"/>
      <c r="J201" s="39"/>
      <c r="K201" s="40">
        <f>SUM(K120:K200)</f>
        <v>2492308</v>
      </c>
    </row>
    <row r="202" spans="1:12" ht="24" customHeight="1" x14ac:dyDescent="0.25">
      <c r="A202" s="70">
        <v>1</v>
      </c>
      <c r="B202" s="49" t="s">
        <v>74</v>
      </c>
      <c r="C202" s="130" t="s">
        <v>32</v>
      </c>
      <c r="D202" s="49" t="s">
        <v>84</v>
      </c>
      <c r="E202" s="79" t="s">
        <v>60</v>
      </c>
      <c r="F202" s="79" t="s">
        <v>17</v>
      </c>
      <c r="G202" s="81">
        <v>460737</v>
      </c>
      <c r="H202" s="85"/>
      <c r="I202" s="81">
        <f>SUM(G202:H202)</f>
        <v>460737</v>
      </c>
      <c r="J202" s="79">
        <v>8</v>
      </c>
      <c r="K202" s="81">
        <f>I202*J202</f>
        <v>3685896</v>
      </c>
    </row>
    <row r="203" spans="1:12" ht="24" customHeight="1" x14ac:dyDescent="0.25">
      <c r="A203" s="70">
        <v>2</v>
      </c>
      <c r="B203" s="49" t="s">
        <v>74</v>
      </c>
      <c r="C203" s="130"/>
      <c r="D203" s="132" t="s">
        <v>82</v>
      </c>
      <c r="E203" s="79" t="s">
        <v>31</v>
      </c>
      <c r="F203" s="80" t="s">
        <v>1</v>
      </c>
      <c r="G203" s="81">
        <v>347074</v>
      </c>
      <c r="H203" s="85"/>
      <c r="I203" s="81">
        <f>SUM(G203:H203)</f>
        <v>347074</v>
      </c>
      <c r="J203" s="79">
        <v>4</v>
      </c>
      <c r="K203" s="81">
        <f>I203*J203</f>
        <v>1388296</v>
      </c>
    </row>
    <row r="204" spans="1:12" ht="24" customHeight="1" x14ac:dyDescent="0.25">
      <c r="A204" s="70">
        <v>3</v>
      </c>
      <c r="B204" s="49" t="s">
        <v>74</v>
      </c>
      <c r="C204" s="130"/>
      <c r="D204" s="132"/>
      <c r="E204" s="81" t="s">
        <v>202</v>
      </c>
      <c r="F204" s="80" t="s">
        <v>1</v>
      </c>
      <c r="G204" s="81">
        <v>200000</v>
      </c>
      <c r="H204" s="85"/>
      <c r="I204" s="81">
        <f>SUM(G204:H204)</f>
        <v>200000</v>
      </c>
      <c r="J204" s="79">
        <v>4</v>
      </c>
      <c r="K204" s="81">
        <f>I204*J204</f>
        <v>800000</v>
      </c>
    </row>
    <row r="205" spans="1:12" ht="24" customHeight="1" x14ac:dyDescent="0.25">
      <c r="A205" s="70">
        <v>4</v>
      </c>
      <c r="B205" s="49" t="s">
        <v>74</v>
      </c>
      <c r="C205" s="130"/>
      <c r="D205" s="49" t="s">
        <v>54</v>
      </c>
      <c r="E205" s="79" t="s">
        <v>834</v>
      </c>
      <c r="F205" s="80" t="s">
        <v>835</v>
      </c>
      <c r="G205" s="81">
        <v>4000</v>
      </c>
      <c r="H205" s="85">
        <v>32000</v>
      </c>
      <c r="I205" s="81">
        <f>SUM(G205:H205)</f>
        <v>36000</v>
      </c>
      <c r="J205" s="79">
        <v>4</v>
      </c>
      <c r="K205" s="81">
        <v>144000</v>
      </c>
    </row>
    <row r="206" spans="1:12" ht="24" customHeight="1" x14ac:dyDescent="0.25">
      <c r="A206" s="86"/>
      <c r="B206" s="21"/>
      <c r="C206" s="63"/>
      <c r="D206" s="39" t="s">
        <v>48</v>
      </c>
      <c r="E206" s="21"/>
      <c r="F206" s="87"/>
      <c r="G206" s="74"/>
      <c r="H206" s="74"/>
      <c r="I206" s="74"/>
      <c r="J206" s="21"/>
      <c r="K206" s="40">
        <f>SUM(K202:K205)</f>
        <v>6018192</v>
      </c>
    </row>
    <row r="207" spans="1:12" ht="24" customHeight="1" x14ac:dyDescent="0.25">
      <c r="A207" s="70">
        <v>1</v>
      </c>
      <c r="B207" s="49" t="s">
        <v>0</v>
      </c>
      <c r="C207" s="130" t="s">
        <v>15</v>
      </c>
      <c r="D207" s="132" t="s">
        <v>81</v>
      </c>
      <c r="E207" s="79" t="s">
        <v>18</v>
      </c>
      <c r="F207" s="80" t="s">
        <v>389</v>
      </c>
      <c r="G207" s="81">
        <v>1500</v>
      </c>
      <c r="H207" s="85"/>
      <c r="I207" s="81">
        <f t="shared" ref="I207:I211" si="20">SUM(G207:H207)</f>
        <v>1500</v>
      </c>
      <c r="J207" s="79">
        <v>6</v>
      </c>
      <c r="K207" s="81">
        <f t="shared" ref="K207:K211" si="21">I207*J207</f>
        <v>9000</v>
      </c>
    </row>
    <row r="208" spans="1:12" ht="24" customHeight="1" x14ac:dyDescent="0.25">
      <c r="A208" s="70">
        <v>2</v>
      </c>
      <c r="B208" s="49" t="s">
        <v>0</v>
      </c>
      <c r="C208" s="130"/>
      <c r="D208" s="132"/>
      <c r="E208" s="79" t="s">
        <v>682</v>
      </c>
      <c r="F208" s="80" t="s">
        <v>683</v>
      </c>
      <c r="G208" s="81">
        <v>489800</v>
      </c>
      <c r="H208" s="85"/>
      <c r="I208" s="81">
        <f t="shared" si="20"/>
        <v>489800</v>
      </c>
      <c r="J208" s="79">
        <v>1</v>
      </c>
      <c r="K208" s="81">
        <f t="shared" si="21"/>
        <v>489800</v>
      </c>
    </row>
    <row r="209" spans="1:14" ht="24" customHeight="1" x14ac:dyDescent="0.25">
      <c r="A209" s="70">
        <v>3</v>
      </c>
      <c r="B209" s="49" t="s">
        <v>0</v>
      </c>
      <c r="C209" s="130" t="s">
        <v>16</v>
      </c>
      <c r="D209" s="132" t="s">
        <v>79</v>
      </c>
      <c r="E209" s="79" t="s">
        <v>79</v>
      </c>
      <c r="F209" s="80" t="s">
        <v>407</v>
      </c>
      <c r="G209" s="81">
        <v>20000</v>
      </c>
      <c r="H209" s="85"/>
      <c r="I209" s="81">
        <f t="shared" si="20"/>
        <v>20000</v>
      </c>
      <c r="J209" s="79">
        <v>1</v>
      </c>
      <c r="K209" s="81">
        <f t="shared" si="21"/>
        <v>20000</v>
      </c>
    </row>
    <row r="210" spans="1:14" ht="24" customHeight="1" x14ac:dyDescent="0.25">
      <c r="A210" s="70">
        <v>4</v>
      </c>
      <c r="B210" s="49" t="s">
        <v>0</v>
      </c>
      <c r="C210" s="130"/>
      <c r="D210" s="132"/>
      <c r="E210" s="79" t="s">
        <v>851</v>
      </c>
      <c r="F210" s="117" t="s">
        <v>469</v>
      </c>
      <c r="G210" s="81">
        <v>50</v>
      </c>
      <c r="H210" s="85"/>
      <c r="I210" s="81">
        <f t="shared" si="20"/>
        <v>50</v>
      </c>
      <c r="J210" s="79">
        <v>3</v>
      </c>
      <c r="K210" s="81">
        <f t="shared" si="21"/>
        <v>150</v>
      </c>
    </row>
    <row r="211" spans="1:14" ht="24" customHeight="1" x14ac:dyDescent="0.25">
      <c r="A211" s="70">
        <v>5</v>
      </c>
      <c r="B211" s="49" t="s">
        <v>0</v>
      </c>
      <c r="C211" s="130"/>
      <c r="D211" s="132"/>
      <c r="E211" s="49" t="s">
        <v>881</v>
      </c>
      <c r="F211" s="117" t="s">
        <v>469</v>
      </c>
      <c r="G211" s="81">
        <v>40</v>
      </c>
      <c r="H211" s="85"/>
      <c r="I211" s="81">
        <f t="shared" si="20"/>
        <v>40</v>
      </c>
      <c r="J211" s="79">
        <v>3</v>
      </c>
      <c r="K211" s="81">
        <f t="shared" si="21"/>
        <v>120</v>
      </c>
    </row>
    <row r="212" spans="1:14" ht="24" customHeight="1" x14ac:dyDescent="0.25">
      <c r="A212" s="70">
        <v>6</v>
      </c>
      <c r="B212" s="49" t="s">
        <v>0</v>
      </c>
      <c r="C212" s="129" t="s">
        <v>352</v>
      </c>
      <c r="D212" s="89" t="s">
        <v>30</v>
      </c>
      <c r="E212" s="89" t="s">
        <v>90</v>
      </c>
      <c r="F212" s="90" t="s">
        <v>91</v>
      </c>
      <c r="G212" s="91">
        <v>2680</v>
      </c>
      <c r="H212" s="92"/>
      <c r="I212" s="91">
        <f>SUM(G212:H212)</f>
        <v>2680</v>
      </c>
      <c r="J212" s="93">
        <v>2</v>
      </c>
      <c r="K212" s="91">
        <v>5360</v>
      </c>
    </row>
    <row r="213" spans="1:14" s="13" customFormat="1" ht="24" customHeight="1" x14ac:dyDescent="0.25">
      <c r="A213" s="70">
        <v>7</v>
      </c>
      <c r="B213" s="49" t="s">
        <v>0</v>
      </c>
      <c r="C213" s="129"/>
      <c r="D213" s="89" t="s">
        <v>353</v>
      </c>
      <c r="E213" s="89" t="s">
        <v>354</v>
      </c>
      <c r="F213" s="90" t="s">
        <v>85</v>
      </c>
      <c r="G213" s="91">
        <v>1000</v>
      </c>
      <c r="H213" s="92"/>
      <c r="I213" s="91">
        <f t="shared" ref="I213:I241" si="22">SUM(G213:H213)</f>
        <v>1000</v>
      </c>
      <c r="J213" s="93">
        <v>1</v>
      </c>
      <c r="K213" s="91">
        <v>1000</v>
      </c>
      <c r="L213" s="56"/>
      <c r="M213" s="56"/>
      <c r="N213" s="56"/>
    </row>
    <row r="214" spans="1:14" ht="24" customHeight="1" x14ac:dyDescent="0.25">
      <c r="A214" s="70">
        <v>8</v>
      </c>
      <c r="B214" s="49" t="s">
        <v>0</v>
      </c>
      <c r="C214" s="129"/>
      <c r="D214" s="89" t="s">
        <v>684</v>
      </c>
      <c r="E214" s="89" t="s">
        <v>685</v>
      </c>
      <c r="F214" s="90" t="s">
        <v>686</v>
      </c>
      <c r="G214" s="91">
        <v>5000</v>
      </c>
      <c r="H214" s="92"/>
      <c r="I214" s="91">
        <f t="shared" si="22"/>
        <v>5000</v>
      </c>
      <c r="J214" s="93">
        <v>1</v>
      </c>
      <c r="K214" s="91">
        <v>5000</v>
      </c>
    </row>
    <row r="215" spans="1:14" ht="24" customHeight="1" x14ac:dyDescent="0.25">
      <c r="A215" s="70">
        <v>9</v>
      </c>
      <c r="B215" s="49" t="s">
        <v>0</v>
      </c>
      <c r="C215" s="129"/>
      <c r="D215" s="89" t="s">
        <v>355</v>
      </c>
      <c r="E215" s="89" t="s">
        <v>356</v>
      </c>
      <c r="F215" s="90" t="s">
        <v>85</v>
      </c>
      <c r="G215" s="91">
        <v>2100</v>
      </c>
      <c r="H215" s="92"/>
      <c r="I215" s="91">
        <f t="shared" si="22"/>
        <v>2100</v>
      </c>
      <c r="J215" s="93">
        <v>1</v>
      </c>
      <c r="K215" s="91">
        <v>2100</v>
      </c>
    </row>
    <row r="216" spans="1:14" ht="24" customHeight="1" x14ac:dyDescent="0.25">
      <c r="A216" s="70">
        <v>10</v>
      </c>
      <c r="B216" s="49" t="s">
        <v>0</v>
      </c>
      <c r="C216" s="129"/>
      <c r="D216" s="89" t="s">
        <v>357</v>
      </c>
      <c r="E216" s="89" t="s">
        <v>358</v>
      </c>
      <c r="F216" s="90" t="s">
        <v>85</v>
      </c>
      <c r="G216" s="91">
        <v>880</v>
      </c>
      <c r="H216" s="92"/>
      <c r="I216" s="91">
        <f t="shared" si="22"/>
        <v>880</v>
      </c>
      <c r="J216" s="93">
        <v>1</v>
      </c>
      <c r="K216" s="91">
        <v>880</v>
      </c>
    </row>
    <row r="217" spans="1:14" ht="24" customHeight="1" x14ac:dyDescent="0.25">
      <c r="A217" s="70">
        <v>11</v>
      </c>
      <c r="B217" s="49" t="s">
        <v>0</v>
      </c>
      <c r="C217" s="129"/>
      <c r="D217" s="49" t="s">
        <v>687</v>
      </c>
      <c r="E217" s="49" t="s">
        <v>688</v>
      </c>
      <c r="F217" s="49" t="s">
        <v>231</v>
      </c>
      <c r="G217" s="91">
        <v>500</v>
      </c>
      <c r="H217" s="114"/>
      <c r="I217" s="91">
        <f t="shared" si="22"/>
        <v>500</v>
      </c>
      <c r="J217" s="49">
        <v>2</v>
      </c>
      <c r="K217" s="91">
        <v>1000</v>
      </c>
    </row>
    <row r="218" spans="1:14" ht="24" customHeight="1" x14ac:dyDescent="0.25">
      <c r="A218" s="70">
        <v>12</v>
      </c>
      <c r="B218" s="49" t="s">
        <v>0</v>
      </c>
      <c r="C218" s="129"/>
      <c r="D218" s="89" t="s">
        <v>359</v>
      </c>
      <c r="E218" s="89" t="s">
        <v>689</v>
      </c>
      <c r="F218" s="90" t="s">
        <v>85</v>
      </c>
      <c r="G218" s="91">
        <v>79409.81</v>
      </c>
      <c r="H218" s="92"/>
      <c r="I218" s="91">
        <f t="shared" si="22"/>
        <v>79409.81</v>
      </c>
      <c r="J218" s="93">
        <v>1</v>
      </c>
      <c r="K218" s="91">
        <v>79409.81</v>
      </c>
    </row>
    <row r="219" spans="1:14" ht="24" customHeight="1" x14ac:dyDescent="0.25">
      <c r="A219" s="70">
        <v>13</v>
      </c>
      <c r="B219" s="49" t="s">
        <v>0</v>
      </c>
      <c r="C219" s="129"/>
      <c r="D219" s="89" t="s">
        <v>36</v>
      </c>
      <c r="E219" s="89" t="s">
        <v>37</v>
      </c>
      <c r="F219" s="90" t="s">
        <v>85</v>
      </c>
      <c r="G219" s="91">
        <v>4200</v>
      </c>
      <c r="H219" s="92"/>
      <c r="I219" s="91">
        <f t="shared" si="22"/>
        <v>4200</v>
      </c>
      <c r="J219" s="93">
        <v>2</v>
      </c>
      <c r="K219" s="91">
        <v>8400</v>
      </c>
    </row>
    <row r="220" spans="1:14" ht="24" customHeight="1" x14ac:dyDescent="0.25">
      <c r="A220" s="70">
        <v>14</v>
      </c>
      <c r="B220" s="49" t="s">
        <v>0</v>
      </c>
      <c r="C220" s="129"/>
      <c r="D220" s="89" t="s">
        <v>38</v>
      </c>
      <c r="E220" s="89" t="s">
        <v>39</v>
      </c>
      <c r="F220" s="90" t="s">
        <v>85</v>
      </c>
      <c r="G220" s="91">
        <v>6400</v>
      </c>
      <c r="H220" s="92"/>
      <c r="I220" s="91">
        <f t="shared" si="22"/>
        <v>6400</v>
      </c>
      <c r="J220" s="93">
        <v>2</v>
      </c>
      <c r="K220" s="91">
        <v>12800</v>
      </c>
    </row>
    <row r="221" spans="1:14" ht="24" customHeight="1" x14ac:dyDescent="0.25">
      <c r="A221" s="70">
        <v>15</v>
      </c>
      <c r="B221" s="49" t="s">
        <v>0</v>
      </c>
      <c r="C221" s="129"/>
      <c r="D221" s="89" t="s">
        <v>360</v>
      </c>
      <c r="E221" s="94" t="s">
        <v>35</v>
      </c>
      <c r="F221" s="90" t="s">
        <v>85</v>
      </c>
      <c r="G221" s="91">
        <v>11000</v>
      </c>
      <c r="H221" s="92"/>
      <c r="I221" s="91">
        <f t="shared" si="22"/>
        <v>11000</v>
      </c>
      <c r="J221" s="93">
        <v>1</v>
      </c>
      <c r="K221" s="91">
        <v>11000</v>
      </c>
    </row>
    <row r="222" spans="1:14" ht="24" customHeight="1" x14ac:dyDescent="0.25">
      <c r="A222" s="70">
        <v>16</v>
      </c>
      <c r="B222" s="49" t="s">
        <v>0</v>
      </c>
      <c r="C222" s="129"/>
      <c r="D222" s="89" t="s">
        <v>361</v>
      </c>
      <c r="E222" s="89" t="s">
        <v>34</v>
      </c>
      <c r="F222" s="90" t="s">
        <v>85</v>
      </c>
      <c r="G222" s="91">
        <v>14800</v>
      </c>
      <c r="H222" s="92"/>
      <c r="I222" s="91">
        <f t="shared" si="22"/>
        <v>14800</v>
      </c>
      <c r="J222" s="93">
        <v>1</v>
      </c>
      <c r="K222" s="91">
        <v>14800</v>
      </c>
    </row>
    <row r="223" spans="1:14" ht="24" customHeight="1" x14ac:dyDescent="0.25">
      <c r="A223" s="70">
        <v>17</v>
      </c>
      <c r="B223" s="49" t="s">
        <v>0</v>
      </c>
      <c r="C223" s="129"/>
      <c r="D223" s="89" t="s">
        <v>690</v>
      </c>
      <c r="E223" s="89" t="s">
        <v>691</v>
      </c>
      <c r="F223" s="90" t="s">
        <v>231</v>
      </c>
      <c r="G223" s="91">
        <v>1870</v>
      </c>
      <c r="H223" s="92"/>
      <c r="I223" s="91">
        <f t="shared" si="22"/>
        <v>1870</v>
      </c>
      <c r="J223" s="93">
        <v>1</v>
      </c>
      <c r="K223" s="91">
        <v>1870</v>
      </c>
    </row>
    <row r="224" spans="1:14" ht="24" customHeight="1" x14ac:dyDescent="0.25">
      <c r="A224" s="70">
        <v>18</v>
      </c>
      <c r="B224" s="49" t="s">
        <v>0</v>
      </c>
      <c r="C224" s="129"/>
      <c r="D224" s="89" t="s">
        <v>362</v>
      </c>
      <c r="E224" s="89" t="s">
        <v>363</v>
      </c>
      <c r="F224" s="90" t="s">
        <v>85</v>
      </c>
      <c r="G224" s="91">
        <v>850</v>
      </c>
      <c r="H224" s="92"/>
      <c r="I224" s="91">
        <f t="shared" si="22"/>
        <v>850</v>
      </c>
      <c r="J224" s="93">
        <v>3</v>
      </c>
      <c r="K224" s="91">
        <v>2550</v>
      </c>
    </row>
    <row r="225" spans="1:14" ht="24" customHeight="1" x14ac:dyDescent="0.25">
      <c r="A225" s="70">
        <v>19</v>
      </c>
      <c r="B225" s="49" t="s">
        <v>0</v>
      </c>
      <c r="C225" s="129"/>
      <c r="D225" s="89" t="s">
        <v>364</v>
      </c>
      <c r="E225" s="89" t="s">
        <v>363</v>
      </c>
      <c r="F225" s="90" t="s">
        <v>85</v>
      </c>
      <c r="G225" s="91">
        <v>850</v>
      </c>
      <c r="H225" s="92"/>
      <c r="I225" s="91">
        <f t="shared" si="22"/>
        <v>850</v>
      </c>
      <c r="J225" s="93">
        <v>3</v>
      </c>
      <c r="K225" s="91">
        <v>2550</v>
      </c>
    </row>
    <row r="226" spans="1:14" ht="24" customHeight="1" x14ac:dyDescent="0.25">
      <c r="A226" s="70">
        <v>20</v>
      </c>
      <c r="B226" s="49" t="s">
        <v>0</v>
      </c>
      <c r="C226" s="129"/>
      <c r="D226" s="89" t="s">
        <v>692</v>
      </c>
      <c r="E226" s="89" t="s">
        <v>693</v>
      </c>
      <c r="F226" s="90" t="s">
        <v>231</v>
      </c>
      <c r="G226" s="91">
        <v>55170</v>
      </c>
      <c r="H226" s="92"/>
      <c r="I226" s="91">
        <f t="shared" si="22"/>
        <v>55170</v>
      </c>
      <c r="J226" s="93">
        <v>1</v>
      </c>
      <c r="K226" s="91">
        <v>55170</v>
      </c>
    </row>
    <row r="227" spans="1:14" ht="24" customHeight="1" x14ac:dyDescent="0.25">
      <c r="A227" s="70">
        <v>21</v>
      </c>
      <c r="B227" s="49" t="s">
        <v>0</v>
      </c>
      <c r="C227" s="129"/>
      <c r="D227" s="89" t="s">
        <v>694</v>
      </c>
      <c r="E227" s="89" t="s">
        <v>695</v>
      </c>
      <c r="F227" s="90" t="s">
        <v>231</v>
      </c>
      <c r="G227" s="91">
        <v>3300</v>
      </c>
      <c r="H227" s="92"/>
      <c r="I227" s="91">
        <f t="shared" si="22"/>
        <v>3300</v>
      </c>
      <c r="J227" s="93">
        <v>1</v>
      </c>
      <c r="K227" s="91">
        <v>3300</v>
      </c>
    </row>
    <row r="228" spans="1:14" ht="24" customHeight="1" x14ac:dyDescent="0.25">
      <c r="A228" s="70">
        <v>22</v>
      </c>
      <c r="B228" s="49" t="s">
        <v>0</v>
      </c>
      <c r="C228" s="129"/>
      <c r="D228" s="89" t="s">
        <v>365</v>
      </c>
      <c r="E228" s="89" t="s">
        <v>366</v>
      </c>
      <c r="F228" s="90" t="s">
        <v>85</v>
      </c>
      <c r="G228" s="91">
        <v>990</v>
      </c>
      <c r="H228" s="92"/>
      <c r="I228" s="91">
        <f t="shared" si="22"/>
        <v>990</v>
      </c>
      <c r="J228" s="93">
        <v>1</v>
      </c>
      <c r="K228" s="91">
        <v>990</v>
      </c>
    </row>
    <row r="229" spans="1:14" ht="24" customHeight="1" x14ac:dyDescent="0.25">
      <c r="A229" s="70">
        <v>23</v>
      </c>
      <c r="B229" s="49" t="s">
        <v>0</v>
      </c>
      <c r="C229" s="129"/>
      <c r="D229" s="89" t="s">
        <v>96</v>
      </c>
      <c r="E229" s="89" t="s">
        <v>980</v>
      </c>
      <c r="F229" s="90" t="s">
        <v>85</v>
      </c>
      <c r="G229" s="91">
        <v>8000</v>
      </c>
      <c r="H229" s="92"/>
      <c r="I229" s="91">
        <f t="shared" si="22"/>
        <v>8000</v>
      </c>
      <c r="J229" s="93">
        <v>1</v>
      </c>
      <c r="K229" s="91">
        <v>8000</v>
      </c>
    </row>
    <row r="230" spans="1:14" ht="24" customHeight="1" x14ac:dyDescent="0.25">
      <c r="A230" s="70">
        <v>24</v>
      </c>
      <c r="B230" s="49" t="s">
        <v>0</v>
      </c>
      <c r="C230" s="129"/>
      <c r="D230" s="89" t="s">
        <v>367</v>
      </c>
      <c r="E230" s="89" t="s">
        <v>368</v>
      </c>
      <c r="F230" s="90" t="s">
        <v>85</v>
      </c>
      <c r="G230" s="91">
        <v>9500</v>
      </c>
      <c r="H230" s="92"/>
      <c r="I230" s="91">
        <f t="shared" si="22"/>
        <v>9500</v>
      </c>
      <c r="J230" s="93">
        <v>1</v>
      </c>
      <c r="K230" s="91">
        <v>9500</v>
      </c>
    </row>
    <row r="231" spans="1:14" ht="24" customHeight="1" x14ac:dyDescent="0.25">
      <c r="A231" s="70">
        <v>25</v>
      </c>
      <c r="B231" s="49" t="s">
        <v>0</v>
      </c>
      <c r="C231" s="129"/>
      <c r="D231" s="89" t="s">
        <v>83</v>
      </c>
      <c r="E231" s="79" t="s">
        <v>879</v>
      </c>
      <c r="F231" s="90" t="s">
        <v>410</v>
      </c>
      <c r="G231" s="91">
        <v>56</v>
      </c>
      <c r="H231" s="92"/>
      <c r="I231" s="91">
        <f t="shared" si="22"/>
        <v>56</v>
      </c>
      <c r="J231" s="93">
        <v>4</v>
      </c>
      <c r="K231" s="91">
        <v>224</v>
      </c>
      <c r="N231" s="120"/>
    </row>
    <row r="232" spans="1:14" ht="24" customHeight="1" x14ac:dyDescent="0.25">
      <c r="A232" s="70">
        <v>26</v>
      </c>
      <c r="B232" s="49" t="s">
        <v>0</v>
      </c>
      <c r="C232" s="129"/>
      <c r="D232" s="52" t="s">
        <v>369</v>
      </c>
      <c r="E232" s="52" t="s">
        <v>370</v>
      </c>
      <c r="F232" s="52" t="s">
        <v>267</v>
      </c>
      <c r="G232" s="61">
        <v>25828</v>
      </c>
      <c r="H232" s="52"/>
      <c r="I232" s="91">
        <f t="shared" si="22"/>
        <v>25828</v>
      </c>
      <c r="J232" s="95">
        <v>1</v>
      </c>
      <c r="K232" s="61">
        <f>I232*J232</f>
        <v>25828</v>
      </c>
      <c r="N232" s="120"/>
    </row>
    <row r="233" spans="1:14" ht="24" customHeight="1" x14ac:dyDescent="0.25">
      <c r="A233" s="70">
        <v>27</v>
      </c>
      <c r="B233" s="49" t="s">
        <v>0</v>
      </c>
      <c r="C233" s="129"/>
      <c r="D233" s="52" t="s">
        <v>371</v>
      </c>
      <c r="E233" s="52" t="s">
        <v>372</v>
      </c>
      <c r="F233" s="52" t="s">
        <v>373</v>
      </c>
      <c r="G233" s="61">
        <v>12000</v>
      </c>
      <c r="H233" s="52"/>
      <c r="I233" s="91">
        <f t="shared" si="22"/>
        <v>12000</v>
      </c>
      <c r="J233" s="95">
        <v>1</v>
      </c>
      <c r="K233" s="61">
        <f>I233*J233</f>
        <v>12000</v>
      </c>
    </row>
    <row r="234" spans="1:14" ht="24" customHeight="1" x14ac:dyDescent="0.25">
      <c r="A234" s="70">
        <v>28</v>
      </c>
      <c r="B234" s="49" t="s">
        <v>0</v>
      </c>
      <c r="C234" s="129"/>
      <c r="D234" s="52" t="s">
        <v>696</v>
      </c>
      <c r="E234" s="52" t="s">
        <v>697</v>
      </c>
      <c r="F234" s="52" t="s">
        <v>231</v>
      </c>
      <c r="G234" s="61">
        <v>600</v>
      </c>
      <c r="H234" s="52"/>
      <c r="I234" s="91">
        <f t="shared" si="22"/>
        <v>600</v>
      </c>
      <c r="J234" s="95">
        <v>4</v>
      </c>
      <c r="K234" s="61">
        <v>2400</v>
      </c>
    </row>
    <row r="235" spans="1:14" ht="24" customHeight="1" x14ac:dyDescent="0.25">
      <c r="A235" s="70">
        <v>29</v>
      </c>
      <c r="B235" s="49" t="s">
        <v>0</v>
      </c>
      <c r="C235" s="129"/>
      <c r="D235" s="52" t="s">
        <v>698</v>
      </c>
      <c r="E235" s="52" t="s">
        <v>698</v>
      </c>
      <c r="F235" s="52" t="s">
        <v>410</v>
      </c>
      <c r="G235" s="61">
        <v>3867</v>
      </c>
      <c r="H235" s="52"/>
      <c r="I235" s="91">
        <f t="shared" si="22"/>
        <v>3867</v>
      </c>
      <c r="J235" s="95">
        <v>1</v>
      </c>
      <c r="K235" s="61">
        <v>3867</v>
      </c>
    </row>
    <row r="236" spans="1:14" ht="24" customHeight="1" x14ac:dyDescent="0.25">
      <c r="A236" s="70">
        <v>30</v>
      </c>
      <c r="B236" s="49" t="s">
        <v>0</v>
      </c>
      <c r="C236" s="129"/>
      <c r="D236" s="52" t="s">
        <v>699</v>
      </c>
      <c r="E236" s="52" t="s">
        <v>700</v>
      </c>
      <c r="F236" s="52" t="s">
        <v>231</v>
      </c>
      <c r="G236" s="61">
        <v>2200</v>
      </c>
      <c r="H236" s="52"/>
      <c r="I236" s="91">
        <f t="shared" si="22"/>
        <v>2200</v>
      </c>
      <c r="J236" s="95">
        <v>1</v>
      </c>
      <c r="K236" s="61">
        <v>2200</v>
      </c>
    </row>
    <row r="237" spans="1:14" ht="24" customHeight="1" x14ac:dyDescent="0.25">
      <c r="A237" s="70">
        <v>31</v>
      </c>
      <c r="B237" s="49" t="s">
        <v>0</v>
      </c>
      <c r="C237" s="129"/>
      <c r="D237" s="52" t="s">
        <v>701</v>
      </c>
      <c r="E237" s="52" t="s">
        <v>702</v>
      </c>
      <c r="F237" s="52" t="s">
        <v>231</v>
      </c>
      <c r="G237" s="61">
        <v>7700</v>
      </c>
      <c r="H237" s="52"/>
      <c r="I237" s="91">
        <f t="shared" si="22"/>
        <v>7700</v>
      </c>
      <c r="J237" s="95">
        <v>1</v>
      </c>
      <c r="K237" s="61">
        <v>7700</v>
      </c>
    </row>
    <row r="238" spans="1:14" ht="24" customHeight="1" x14ac:dyDescent="0.25">
      <c r="A238" s="70">
        <v>32</v>
      </c>
      <c r="B238" s="49" t="s">
        <v>0</v>
      </c>
      <c r="C238" s="129"/>
      <c r="D238" s="52" t="s">
        <v>703</v>
      </c>
      <c r="E238" s="52" t="s">
        <v>704</v>
      </c>
      <c r="F238" s="52" t="s">
        <v>231</v>
      </c>
      <c r="G238" s="61">
        <v>1320</v>
      </c>
      <c r="H238" s="52"/>
      <c r="I238" s="91">
        <f t="shared" si="22"/>
        <v>1320</v>
      </c>
      <c r="J238" s="95">
        <v>1</v>
      </c>
      <c r="K238" s="61">
        <v>1320</v>
      </c>
    </row>
    <row r="239" spans="1:14" ht="24" customHeight="1" x14ac:dyDescent="0.25">
      <c r="A239" s="70">
        <v>33</v>
      </c>
      <c r="B239" s="49" t="s">
        <v>0</v>
      </c>
      <c r="C239" s="129"/>
      <c r="D239" s="52" t="s">
        <v>374</v>
      </c>
      <c r="E239" s="52" t="s">
        <v>878</v>
      </c>
      <c r="F239" s="52" t="s">
        <v>375</v>
      </c>
      <c r="G239" s="61">
        <v>200</v>
      </c>
      <c r="H239" s="61"/>
      <c r="I239" s="91">
        <f t="shared" si="22"/>
        <v>200</v>
      </c>
      <c r="J239" s="95">
        <v>1</v>
      </c>
      <c r="K239" s="61">
        <f>I239*J239</f>
        <v>200</v>
      </c>
    </row>
    <row r="240" spans="1:14" ht="24" customHeight="1" x14ac:dyDescent="0.25">
      <c r="A240" s="70">
        <v>34</v>
      </c>
      <c r="B240" s="49" t="s">
        <v>0</v>
      </c>
      <c r="C240" s="129" t="s">
        <v>705</v>
      </c>
      <c r="D240" s="49" t="s">
        <v>29</v>
      </c>
      <c r="E240" s="49" t="s">
        <v>92</v>
      </c>
      <c r="F240" s="71" t="s">
        <v>89</v>
      </c>
      <c r="G240" s="60">
        <v>7700</v>
      </c>
      <c r="H240" s="70"/>
      <c r="I240" s="91">
        <f t="shared" si="22"/>
        <v>7700</v>
      </c>
      <c r="J240" s="49">
        <v>1</v>
      </c>
      <c r="K240" s="60">
        <f t="shared" ref="K240:K241" si="23">I240*J240</f>
        <v>7700</v>
      </c>
    </row>
    <row r="241" spans="1:11" ht="24" customHeight="1" x14ac:dyDescent="0.25">
      <c r="A241" s="70">
        <v>35</v>
      </c>
      <c r="B241" s="49" t="s">
        <v>0</v>
      </c>
      <c r="C241" s="129"/>
      <c r="D241" s="49" t="s">
        <v>376</v>
      </c>
      <c r="E241" s="88" t="s">
        <v>377</v>
      </c>
      <c r="F241" s="71" t="s">
        <v>378</v>
      </c>
      <c r="G241" s="60">
        <v>154971</v>
      </c>
      <c r="H241" s="48"/>
      <c r="I241" s="91">
        <f t="shared" si="22"/>
        <v>154971</v>
      </c>
      <c r="J241" s="49">
        <v>4</v>
      </c>
      <c r="K241" s="60">
        <f t="shared" si="23"/>
        <v>619884</v>
      </c>
    </row>
    <row r="242" spans="1:11" ht="24" customHeight="1" x14ac:dyDescent="0.25">
      <c r="A242" s="62"/>
      <c r="B242" s="21"/>
      <c r="C242" s="63"/>
      <c r="D242" s="39" t="s">
        <v>48</v>
      </c>
      <c r="E242" s="39"/>
      <c r="F242" s="63"/>
      <c r="G242" s="40"/>
      <c r="H242" s="40"/>
      <c r="I242" s="40"/>
      <c r="J242" s="39"/>
      <c r="K242" s="40">
        <f>SUM(K207:K241)</f>
        <v>1428072.81</v>
      </c>
    </row>
    <row r="243" spans="1:11" ht="24" customHeight="1" x14ac:dyDescent="0.25">
      <c r="A243" s="70">
        <v>1</v>
      </c>
      <c r="B243" s="49" t="s">
        <v>11</v>
      </c>
      <c r="C243" s="148" t="s">
        <v>388</v>
      </c>
      <c r="D243" s="45" t="s">
        <v>211</v>
      </c>
      <c r="E243" s="45" t="s">
        <v>212</v>
      </c>
      <c r="F243" s="42" t="s">
        <v>389</v>
      </c>
      <c r="G243" s="44"/>
      <c r="H243" s="43">
        <v>350000</v>
      </c>
      <c r="I243" s="59">
        <f t="shared" ref="I243:I280" si="24">SUM(G243:H243)</f>
        <v>350000</v>
      </c>
      <c r="J243" s="44">
        <v>1</v>
      </c>
      <c r="K243" s="59">
        <f>I243*J243</f>
        <v>350000</v>
      </c>
    </row>
    <row r="244" spans="1:11" ht="24" customHeight="1" x14ac:dyDescent="0.25">
      <c r="A244" s="70">
        <v>2</v>
      </c>
      <c r="B244" s="49" t="s">
        <v>11</v>
      </c>
      <c r="C244" s="149"/>
      <c r="D244" s="45" t="s">
        <v>213</v>
      </c>
      <c r="E244" s="45" t="s">
        <v>214</v>
      </c>
      <c r="F244" s="46" t="s">
        <v>108</v>
      </c>
      <c r="G244" s="44"/>
      <c r="H244" s="43">
        <v>45000</v>
      </c>
      <c r="I244" s="59">
        <f t="shared" si="24"/>
        <v>45000</v>
      </c>
      <c r="J244" s="44">
        <v>10</v>
      </c>
      <c r="K244" s="59">
        <f>I244*J244</f>
        <v>450000</v>
      </c>
    </row>
    <row r="245" spans="1:11" ht="24" customHeight="1" x14ac:dyDescent="0.25">
      <c r="A245" s="70">
        <v>3</v>
      </c>
      <c r="B245" s="49" t="s">
        <v>11</v>
      </c>
      <c r="C245" s="149"/>
      <c r="D245" s="45" t="s">
        <v>390</v>
      </c>
      <c r="E245" s="45" t="s">
        <v>391</v>
      </c>
      <c r="F245" s="42" t="s">
        <v>102</v>
      </c>
      <c r="G245" s="44"/>
      <c r="H245" s="43">
        <v>4000</v>
      </c>
      <c r="I245" s="59">
        <f t="shared" si="24"/>
        <v>4000</v>
      </c>
      <c r="J245" s="44">
        <v>10</v>
      </c>
      <c r="K245" s="59">
        <f>I245*J245</f>
        <v>40000</v>
      </c>
    </row>
    <row r="246" spans="1:11" ht="24" customHeight="1" x14ac:dyDescent="0.25">
      <c r="A246" s="70">
        <v>4</v>
      </c>
      <c r="B246" s="49" t="s">
        <v>11</v>
      </c>
      <c r="C246" s="149"/>
      <c r="D246" s="45" t="s">
        <v>392</v>
      </c>
      <c r="E246" s="45" t="s">
        <v>393</v>
      </c>
      <c r="F246" s="42" t="s">
        <v>394</v>
      </c>
      <c r="G246" s="59">
        <v>7000</v>
      </c>
      <c r="H246" s="43"/>
      <c r="I246" s="59">
        <f t="shared" si="24"/>
        <v>7000</v>
      </c>
      <c r="J246" s="44">
        <v>1</v>
      </c>
      <c r="K246" s="59">
        <f t="shared" ref="K246:K318" si="25">I246*J246</f>
        <v>7000</v>
      </c>
    </row>
    <row r="247" spans="1:11" ht="24" customHeight="1" x14ac:dyDescent="0.25">
      <c r="A247" s="70">
        <v>5</v>
      </c>
      <c r="B247" s="49" t="s">
        <v>11</v>
      </c>
      <c r="C247" s="149"/>
      <c r="D247" s="45" t="s">
        <v>395</v>
      </c>
      <c r="E247" s="47" t="s">
        <v>396</v>
      </c>
      <c r="F247" s="42" t="s">
        <v>397</v>
      </c>
      <c r="G247" s="59">
        <v>80000</v>
      </c>
      <c r="H247" s="115"/>
      <c r="I247" s="59">
        <f t="shared" si="24"/>
        <v>80000</v>
      </c>
      <c r="J247" s="44">
        <v>1</v>
      </c>
      <c r="K247" s="59">
        <f t="shared" si="25"/>
        <v>80000</v>
      </c>
    </row>
    <row r="248" spans="1:11" ht="24" customHeight="1" x14ac:dyDescent="0.25">
      <c r="A248" s="70">
        <v>6</v>
      </c>
      <c r="B248" s="49" t="s">
        <v>11</v>
      </c>
      <c r="C248" s="149"/>
      <c r="D248" s="45" t="s">
        <v>398</v>
      </c>
      <c r="E248" s="45" t="s">
        <v>399</v>
      </c>
      <c r="F248" s="42" t="s">
        <v>400</v>
      </c>
      <c r="G248" s="59">
        <v>50000</v>
      </c>
      <c r="H248" s="115"/>
      <c r="I248" s="59">
        <f t="shared" si="24"/>
        <v>50000</v>
      </c>
      <c r="J248" s="44">
        <v>1</v>
      </c>
      <c r="K248" s="59">
        <f t="shared" si="25"/>
        <v>50000</v>
      </c>
    </row>
    <row r="249" spans="1:11" ht="24" customHeight="1" x14ac:dyDescent="0.25">
      <c r="A249" s="70">
        <v>7</v>
      </c>
      <c r="B249" s="49" t="s">
        <v>11</v>
      </c>
      <c r="C249" s="149"/>
      <c r="D249" s="45" t="s">
        <v>401</v>
      </c>
      <c r="E249" s="45" t="s">
        <v>402</v>
      </c>
      <c r="F249" s="42" t="s">
        <v>403</v>
      </c>
      <c r="G249" s="60">
        <v>51140</v>
      </c>
      <c r="H249" s="43"/>
      <c r="I249" s="60">
        <f t="shared" si="24"/>
        <v>51140</v>
      </c>
      <c r="J249" s="49">
        <v>5</v>
      </c>
      <c r="K249" s="60">
        <f t="shared" si="25"/>
        <v>255700</v>
      </c>
    </row>
    <row r="250" spans="1:11" ht="24" customHeight="1" x14ac:dyDescent="0.25">
      <c r="A250" s="70">
        <v>8</v>
      </c>
      <c r="B250" s="49" t="s">
        <v>11</v>
      </c>
      <c r="C250" s="149"/>
      <c r="D250" s="110" t="s">
        <v>404</v>
      </c>
      <c r="E250" s="45" t="s">
        <v>405</v>
      </c>
      <c r="F250" s="42" t="s">
        <v>406</v>
      </c>
      <c r="G250" s="60">
        <v>5020</v>
      </c>
      <c r="H250" s="115"/>
      <c r="I250" s="60">
        <f t="shared" si="24"/>
        <v>5020</v>
      </c>
      <c r="J250" s="49">
        <v>2</v>
      </c>
      <c r="K250" s="60">
        <f t="shared" si="25"/>
        <v>10040</v>
      </c>
    </row>
    <row r="251" spans="1:11" ht="24" customHeight="1" x14ac:dyDescent="0.25">
      <c r="A251" s="70">
        <v>9</v>
      </c>
      <c r="B251" s="49" t="s">
        <v>11</v>
      </c>
      <c r="C251" s="149"/>
      <c r="D251" s="45" t="s">
        <v>216</v>
      </c>
      <c r="E251" s="45" t="s">
        <v>217</v>
      </c>
      <c r="F251" s="42" t="s">
        <v>218</v>
      </c>
      <c r="G251" s="60">
        <v>10000</v>
      </c>
      <c r="H251" s="115"/>
      <c r="I251" s="60">
        <f t="shared" si="24"/>
        <v>10000</v>
      </c>
      <c r="J251" s="49">
        <v>1</v>
      </c>
      <c r="K251" s="60">
        <f t="shared" si="25"/>
        <v>10000</v>
      </c>
    </row>
    <row r="252" spans="1:11" ht="24" customHeight="1" x14ac:dyDescent="0.25">
      <c r="A252" s="70">
        <v>10</v>
      </c>
      <c r="B252" s="49" t="s">
        <v>11</v>
      </c>
      <c r="C252" s="149"/>
      <c r="D252" s="45" t="s">
        <v>408</v>
      </c>
      <c r="E252" s="45" t="s">
        <v>409</v>
      </c>
      <c r="F252" s="42" t="s">
        <v>411</v>
      </c>
      <c r="G252" s="60">
        <v>950</v>
      </c>
      <c r="H252" s="43"/>
      <c r="I252" s="60">
        <f t="shared" si="24"/>
        <v>950</v>
      </c>
      <c r="J252" s="49">
        <v>5</v>
      </c>
      <c r="K252" s="60">
        <f t="shared" si="25"/>
        <v>4750</v>
      </c>
    </row>
    <row r="253" spans="1:11" ht="24" customHeight="1" x14ac:dyDescent="0.25">
      <c r="A253" s="70">
        <v>11</v>
      </c>
      <c r="B253" s="49" t="s">
        <v>11</v>
      </c>
      <c r="C253" s="149"/>
      <c r="D253" s="45" t="s">
        <v>969</v>
      </c>
      <c r="E253" s="45" t="s">
        <v>971</v>
      </c>
      <c r="F253" s="42" t="s">
        <v>412</v>
      </c>
      <c r="G253" s="60">
        <v>24000</v>
      </c>
      <c r="H253" s="115"/>
      <c r="I253" s="60">
        <f t="shared" si="24"/>
        <v>24000</v>
      </c>
      <c r="J253" s="49">
        <v>2</v>
      </c>
      <c r="K253" s="60">
        <f t="shared" si="25"/>
        <v>48000</v>
      </c>
    </row>
    <row r="254" spans="1:11" ht="24" customHeight="1" x14ac:dyDescent="0.25">
      <c r="A254" s="70">
        <v>12</v>
      </c>
      <c r="B254" s="49" t="s">
        <v>11</v>
      </c>
      <c r="C254" s="149"/>
      <c r="D254" s="45" t="s">
        <v>970</v>
      </c>
      <c r="E254" s="49" t="s">
        <v>223</v>
      </c>
      <c r="F254" s="42" t="s">
        <v>224</v>
      </c>
      <c r="G254" s="60">
        <v>35920</v>
      </c>
      <c r="H254" s="115"/>
      <c r="I254" s="60">
        <f t="shared" si="24"/>
        <v>35920</v>
      </c>
      <c r="J254" s="49">
        <v>1</v>
      </c>
      <c r="K254" s="60">
        <f t="shared" si="25"/>
        <v>35920</v>
      </c>
    </row>
    <row r="255" spans="1:11" ht="24" customHeight="1" x14ac:dyDescent="0.25">
      <c r="A255" s="70">
        <v>13</v>
      </c>
      <c r="B255" s="49" t="s">
        <v>11</v>
      </c>
      <c r="C255" s="149"/>
      <c r="D255" s="45" t="s">
        <v>413</v>
      </c>
      <c r="E255" s="45" t="s">
        <v>414</v>
      </c>
      <c r="F255" s="42" t="s">
        <v>403</v>
      </c>
      <c r="G255" s="60">
        <v>20188</v>
      </c>
      <c r="H255" s="43"/>
      <c r="I255" s="60">
        <f t="shared" si="24"/>
        <v>20188</v>
      </c>
      <c r="J255" s="49">
        <v>1</v>
      </c>
      <c r="K255" s="60">
        <f t="shared" si="25"/>
        <v>20188</v>
      </c>
    </row>
    <row r="256" spans="1:11" ht="24" customHeight="1" x14ac:dyDescent="0.25">
      <c r="A256" s="70">
        <v>14</v>
      </c>
      <c r="B256" s="49" t="s">
        <v>11</v>
      </c>
      <c r="C256" s="149"/>
      <c r="D256" s="52" t="s">
        <v>894</v>
      </c>
      <c r="E256" s="45" t="s">
        <v>896</v>
      </c>
      <c r="F256" s="42" t="s">
        <v>231</v>
      </c>
      <c r="G256" s="60">
        <v>7500</v>
      </c>
      <c r="H256" s="43"/>
      <c r="I256" s="60">
        <f t="shared" si="24"/>
        <v>7500</v>
      </c>
      <c r="J256" s="49">
        <v>1</v>
      </c>
      <c r="K256" s="60">
        <f t="shared" si="25"/>
        <v>7500</v>
      </c>
    </row>
    <row r="257" spans="1:13" ht="24" customHeight="1" x14ac:dyDescent="0.3">
      <c r="A257" s="70">
        <v>15</v>
      </c>
      <c r="B257" s="49" t="s">
        <v>11</v>
      </c>
      <c r="C257" s="149"/>
      <c r="D257" s="52" t="s">
        <v>895</v>
      </c>
      <c r="E257" s="118" t="s">
        <v>897</v>
      </c>
      <c r="F257" s="42" t="s">
        <v>231</v>
      </c>
      <c r="G257" s="60">
        <v>5000</v>
      </c>
      <c r="H257" s="43"/>
      <c r="I257" s="60">
        <f t="shared" si="24"/>
        <v>5000</v>
      </c>
      <c r="J257" s="49">
        <v>1</v>
      </c>
      <c r="K257" s="60">
        <f t="shared" si="25"/>
        <v>5000</v>
      </c>
    </row>
    <row r="258" spans="1:13" ht="24" customHeight="1" x14ac:dyDescent="0.25">
      <c r="A258" s="70">
        <v>16</v>
      </c>
      <c r="B258" s="49" t="s">
        <v>11</v>
      </c>
      <c r="C258" s="149"/>
      <c r="D258" s="45" t="s">
        <v>415</v>
      </c>
      <c r="E258" s="45" t="s">
        <v>416</v>
      </c>
      <c r="F258" s="42" t="s">
        <v>417</v>
      </c>
      <c r="G258" s="60">
        <v>2140800</v>
      </c>
      <c r="H258" s="115"/>
      <c r="I258" s="60">
        <f t="shared" si="24"/>
        <v>2140800</v>
      </c>
      <c r="J258" s="49">
        <v>1</v>
      </c>
      <c r="K258" s="60">
        <f>I258*J258</f>
        <v>2140800</v>
      </c>
    </row>
    <row r="259" spans="1:13" ht="24" customHeight="1" x14ac:dyDescent="0.25">
      <c r="A259" s="70">
        <v>17</v>
      </c>
      <c r="B259" s="49" t="s">
        <v>11</v>
      </c>
      <c r="C259" s="149"/>
      <c r="D259" s="45" t="s">
        <v>418</v>
      </c>
      <c r="E259" s="49" t="s">
        <v>220</v>
      </c>
      <c r="F259" s="42" t="s">
        <v>403</v>
      </c>
      <c r="G259" s="60">
        <v>295390</v>
      </c>
      <c r="H259" s="115"/>
      <c r="I259" s="60">
        <f t="shared" si="24"/>
        <v>295390</v>
      </c>
      <c r="J259" s="49">
        <v>2</v>
      </c>
      <c r="K259" s="60">
        <f t="shared" si="25"/>
        <v>590780</v>
      </c>
    </row>
    <row r="260" spans="1:13" ht="24" customHeight="1" x14ac:dyDescent="0.25">
      <c r="A260" s="70">
        <v>18</v>
      </c>
      <c r="B260" s="49" t="s">
        <v>11</v>
      </c>
      <c r="C260" s="149"/>
      <c r="D260" s="45" t="s">
        <v>419</v>
      </c>
      <c r="E260" s="49" t="s">
        <v>33</v>
      </c>
      <c r="F260" s="42" t="s">
        <v>420</v>
      </c>
      <c r="G260" s="60">
        <v>800000</v>
      </c>
      <c r="H260" s="43"/>
      <c r="I260" s="60">
        <f t="shared" si="24"/>
        <v>800000</v>
      </c>
      <c r="J260" s="49">
        <v>1</v>
      </c>
      <c r="K260" s="60">
        <f t="shared" si="25"/>
        <v>800000</v>
      </c>
    </row>
    <row r="261" spans="1:13" ht="24" customHeight="1" x14ac:dyDescent="0.25">
      <c r="A261" s="70">
        <v>19</v>
      </c>
      <c r="B261" s="49" t="s">
        <v>11</v>
      </c>
      <c r="C261" s="149"/>
      <c r="D261" s="45" t="s">
        <v>421</v>
      </c>
      <c r="E261" s="110" t="s">
        <v>422</v>
      </c>
      <c r="F261" s="42" t="s">
        <v>417</v>
      </c>
      <c r="G261" s="60">
        <v>203000</v>
      </c>
      <c r="H261" s="115"/>
      <c r="I261" s="60">
        <f t="shared" si="24"/>
        <v>203000</v>
      </c>
      <c r="J261" s="49">
        <v>1</v>
      </c>
      <c r="K261" s="60">
        <f t="shared" si="25"/>
        <v>203000</v>
      </c>
      <c r="M261" s="52"/>
    </row>
    <row r="262" spans="1:13" ht="24" customHeight="1" x14ac:dyDescent="0.25">
      <c r="A262" s="70">
        <v>20</v>
      </c>
      <c r="B262" s="49" t="s">
        <v>11</v>
      </c>
      <c r="C262" s="149"/>
      <c r="D262" s="45" t="s">
        <v>423</v>
      </c>
      <c r="E262" s="45" t="s">
        <v>424</v>
      </c>
      <c r="F262" s="42" t="s">
        <v>425</v>
      </c>
      <c r="G262" s="60">
        <v>25000</v>
      </c>
      <c r="H262" s="115"/>
      <c r="I262" s="60">
        <f t="shared" si="24"/>
        <v>25000</v>
      </c>
      <c r="J262" s="49">
        <v>1</v>
      </c>
      <c r="K262" s="60">
        <f t="shared" si="25"/>
        <v>25000</v>
      </c>
    </row>
    <row r="263" spans="1:13" ht="24" customHeight="1" x14ac:dyDescent="0.25">
      <c r="A263" s="70">
        <v>21</v>
      </c>
      <c r="B263" s="49" t="s">
        <v>11</v>
      </c>
      <c r="C263" s="149"/>
      <c r="D263" s="45" t="s">
        <v>426</v>
      </c>
      <c r="E263" s="45" t="s">
        <v>422</v>
      </c>
      <c r="F263" s="42" t="s">
        <v>417</v>
      </c>
      <c r="G263" s="60">
        <v>280000</v>
      </c>
      <c r="H263" s="43"/>
      <c r="I263" s="60">
        <f t="shared" si="24"/>
        <v>280000</v>
      </c>
      <c r="J263" s="49">
        <v>1</v>
      </c>
      <c r="K263" s="60">
        <f t="shared" si="25"/>
        <v>280000</v>
      </c>
    </row>
    <row r="264" spans="1:13" ht="24" customHeight="1" x14ac:dyDescent="0.25">
      <c r="A264" s="70">
        <v>22</v>
      </c>
      <c r="B264" s="49" t="s">
        <v>11</v>
      </c>
      <c r="C264" s="149"/>
      <c r="D264" s="45" t="s">
        <v>427</v>
      </c>
      <c r="E264" s="49" t="s">
        <v>42</v>
      </c>
      <c r="F264" s="42" t="s">
        <v>417</v>
      </c>
      <c r="G264" s="60">
        <v>35100</v>
      </c>
      <c r="H264" s="115"/>
      <c r="I264" s="60">
        <f t="shared" si="24"/>
        <v>35100</v>
      </c>
      <c r="J264" s="49">
        <v>2</v>
      </c>
      <c r="K264" s="60">
        <f t="shared" si="25"/>
        <v>70200</v>
      </c>
    </row>
    <row r="265" spans="1:13" ht="24" customHeight="1" x14ac:dyDescent="0.25">
      <c r="A265" s="70">
        <v>23</v>
      </c>
      <c r="B265" s="49" t="s">
        <v>11</v>
      </c>
      <c r="C265" s="149"/>
      <c r="D265" s="45" t="s">
        <v>428</v>
      </c>
      <c r="E265" s="49" t="s">
        <v>61</v>
      </c>
      <c r="F265" s="42" t="s">
        <v>417</v>
      </c>
      <c r="G265" s="60">
        <v>60000</v>
      </c>
      <c r="H265" s="115"/>
      <c r="I265" s="60">
        <f t="shared" si="24"/>
        <v>60000</v>
      </c>
      <c r="J265" s="49">
        <v>3</v>
      </c>
      <c r="K265" s="60">
        <f t="shared" si="25"/>
        <v>180000</v>
      </c>
    </row>
    <row r="266" spans="1:13" ht="24" customHeight="1" x14ac:dyDescent="0.25">
      <c r="A266" s="70">
        <v>24</v>
      </c>
      <c r="B266" s="49" t="s">
        <v>11</v>
      </c>
      <c r="C266" s="149"/>
      <c r="D266" s="110" t="s">
        <v>429</v>
      </c>
      <c r="E266" s="49" t="s">
        <v>221</v>
      </c>
      <c r="F266" s="42" t="s">
        <v>403</v>
      </c>
      <c r="G266" s="60">
        <v>56000</v>
      </c>
      <c r="H266" s="43"/>
      <c r="I266" s="60">
        <f t="shared" si="24"/>
        <v>56000</v>
      </c>
      <c r="J266" s="49">
        <v>2</v>
      </c>
      <c r="K266" s="60">
        <f t="shared" si="25"/>
        <v>112000</v>
      </c>
    </row>
    <row r="267" spans="1:13" ht="24" customHeight="1" x14ac:dyDescent="0.25">
      <c r="A267" s="70">
        <v>25</v>
      </c>
      <c r="B267" s="49" t="s">
        <v>11</v>
      </c>
      <c r="C267" s="149"/>
      <c r="D267" s="45" t="s">
        <v>430</v>
      </c>
      <c r="E267" s="49" t="s">
        <v>222</v>
      </c>
      <c r="F267" s="42" t="s">
        <v>403</v>
      </c>
      <c r="G267" s="60">
        <v>183000</v>
      </c>
      <c r="H267" s="115"/>
      <c r="I267" s="60">
        <f t="shared" si="24"/>
        <v>183000</v>
      </c>
      <c r="J267" s="49">
        <v>2</v>
      </c>
      <c r="K267" s="60">
        <f t="shared" si="25"/>
        <v>366000</v>
      </c>
    </row>
    <row r="268" spans="1:13" ht="24" customHeight="1" x14ac:dyDescent="0.25">
      <c r="A268" s="70">
        <v>26</v>
      </c>
      <c r="B268" s="49" t="s">
        <v>11</v>
      </c>
      <c r="C268" s="149"/>
      <c r="D268" s="45" t="s">
        <v>874</v>
      </c>
      <c r="E268" s="79" t="s">
        <v>872</v>
      </c>
      <c r="F268" s="42" t="s">
        <v>873</v>
      </c>
      <c r="G268" s="60">
        <v>150</v>
      </c>
      <c r="H268" s="115"/>
      <c r="I268" s="60">
        <f t="shared" si="24"/>
        <v>150</v>
      </c>
      <c r="J268" s="49">
        <v>20</v>
      </c>
      <c r="K268" s="60">
        <f t="shared" si="25"/>
        <v>3000</v>
      </c>
    </row>
    <row r="269" spans="1:13" ht="24" customHeight="1" x14ac:dyDescent="0.25">
      <c r="A269" s="70">
        <v>27</v>
      </c>
      <c r="B269" s="49" t="s">
        <v>11</v>
      </c>
      <c r="C269" s="149"/>
      <c r="D269" s="45" t="s">
        <v>876</v>
      </c>
      <c r="E269" s="79" t="s">
        <v>890</v>
      </c>
      <c r="F269" s="42" t="s">
        <v>875</v>
      </c>
      <c r="G269" s="60">
        <v>60</v>
      </c>
      <c r="H269" s="115"/>
      <c r="I269" s="60">
        <f t="shared" si="24"/>
        <v>60</v>
      </c>
      <c r="J269" s="49">
        <v>20</v>
      </c>
      <c r="K269" s="60">
        <f t="shared" si="25"/>
        <v>1200</v>
      </c>
    </row>
    <row r="270" spans="1:13" ht="24" customHeight="1" x14ac:dyDescent="0.25">
      <c r="A270" s="70">
        <v>28</v>
      </c>
      <c r="B270" s="49" t="s">
        <v>11</v>
      </c>
      <c r="C270" s="149"/>
      <c r="D270" s="119" t="s">
        <v>899</v>
      </c>
      <c r="E270" s="79" t="s">
        <v>900</v>
      </c>
      <c r="F270" s="42" t="s">
        <v>410</v>
      </c>
      <c r="G270" s="60">
        <v>5000</v>
      </c>
      <c r="H270" s="115"/>
      <c r="I270" s="60">
        <f t="shared" si="24"/>
        <v>5000</v>
      </c>
      <c r="J270" s="49">
        <v>1</v>
      </c>
      <c r="K270" s="60">
        <f t="shared" si="25"/>
        <v>5000</v>
      </c>
    </row>
    <row r="271" spans="1:13" ht="24" customHeight="1" x14ac:dyDescent="0.25">
      <c r="A271" s="70">
        <v>29</v>
      </c>
      <c r="B271" s="49" t="s">
        <v>11</v>
      </c>
      <c r="C271" s="150"/>
      <c r="D271" s="52" t="s">
        <v>967</v>
      </c>
      <c r="E271" s="76" t="s">
        <v>972</v>
      </c>
      <c r="F271" s="71" t="s">
        <v>201</v>
      </c>
      <c r="G271" s="60">
        <v>160000</v>
      </c>
      <c r="H271" s="60"/>
      <c r="I271" s="60">
        <f t="shared" si="24"/>
        <v>160000</v>
      </c>
      <c r="J271" s="49">
        <v>1</v>
      </c>
      <c r="K271" s="60">
        <f t="shared" si="25"/>
        <v>160000</v>
      </c>
    </row>
    <row r="272" spans="1:13" ht="24" customHeight="1" x14ac:dyDescent="0.25">
      <c r="A272" s="70">
        <v>30</v>
      </c>
      <c r="B272" s="49" t="s">
        <v>11</v>
      </c>
      <c r="C272" s="129" t="s">
        <v>431</v>
      </c>
      <c r="D272" s="145" t="s">
        <v>432</v>
      </c>
      <c r="E272" s="79" t="s">
        <v>880</v>
      </c>
      <c r="F272" s="42" t="s">
        <v>433</v>
      </c>
      <c r="G272" s="60">
        <v>70</v>
      </c>
      <c r="H272" s="115"/>
      <c r="I272" s="60">
        <f t="shared" si="24"/>
        <v>70</v>
      </c>
      <c r="J272" s="49">
        <v>10</v>
      </c>
      <c r="K272" s="60">
        <f t="shared" si="25"/>
        <v>700</v>
      </c>
    </row>
    <row r="273" spans="1:14" ht="24" customHeight="1" x14ac:dyDescent="0.25">
      <c r="A273" s="70">
        <v>31</v>
      </c>
      <c r="B273" s="49" t="s">
        <v>11</v>
      </c>
      <c r="C273" s="129"/>
      <c r="D273" s="146"/>
      <c r="E273" s="79" t="s">
        <v>951</v>
      </c>
      <c r="F273" s="42" t="s">
        <v>433</v>
      </c>
      <c r="G273" s="60">
        <v>40</v>
      </c>
      <c r="H273" s="43"/>
      <c r="I273" s="60">
        <f t="shared" si="24"/>
        <v>40</v>
      </c>
      <c r="J273" s="49">
        <v>30</v>
      </c>
      <c r="K273" s="60">
        <f t="shared" si="25"/>
        <v>1200</v>
      </c>
      <c r="M273" s="120"/>
    </row>
    <row r="274" spans="1:14" ht="24" customHeight="1" x14ac:dyDescent="0.25">
      <c r="A274" s="70">
        <v>32</v>
      </c>
      <c r="B274" s="49" t="s">
        <v>11</v>
      </c>
      <c r="C274" s="129"/>
      <c r="D274" s="146"/>
      <c r="E274" s="79" t="s">
        <v>952</v>
      </c>
      <c r="F274" s="42" t="s">
        <v>433</v>
      </c>
      <c r="G274" s="60">
        <v>30</v>
      </c>
      <c r="H274" s="115"/>
      <c r="I274" s="60">
        <f t="shared" si="24"/>
        <v>30</v>
      </c>
      <c r="J274" s="49">
        <v>50</v>
      </c>
      <c r="K274" s="60">
        <f t="shared" si="25"/>
        <v>1500</v>
      </c>
      <c r="M274" s="120"/>
    </row>
    <row r="275" spans="1:14" ht="24" customHeight="1" x14ac:dyDescent="0.25">
      <c r="A275" s="70">
        <v>33</v>
      </c>
      <c r="B275" s="49" t="s">
        <v>11</v>
      </c>
      <c r="C275" s="129"/>
      <c r="D275" s="146"/>
      <c r="E275" s="79" t="s">
        <v>953</v>
      </c>
      <c r="F275" s="42" t="s">
        <v>433</v>
      </c>
      <c r="G275" s="60">
        <v>20</v>
      </c>
      <c r="H275" s="115"/>
      <c r="I275" s="60">
        <f t="shared" si="24"/>
        <v>20</v>
      </c>
      <c r="J275" s="49">
        <v>50</v>
      </c>
      <c r="K275" s="60">
        <f t="shared" si="25"/>
        <v>1000</v>
      </c>
    </row>
    <row r="276" spans="1:14" s="13" customFormat="1" ht="24" customHeight="1" x14ac:dyDescent="0.25">
      <c r="A276" s="70">
        <v>34</v>
      </c>
      <c r="B276" s="49" t="s">
        <v>11</v>
      </c>
      <c r="C276" s="129"/>
      <c r="D276" s="146"/>
      <c r="E276" s="45" t="s">
        <v>855</v>
      </c>
      <c r="F276" s="42" t="s">
        <v>433</v>
      </c>
      <c r="G276" s="60">
        <v>80</v>
      </c>
      <c r="H276" s="43"/>
      <c r="I276" s="60">
        <f t="shared" si="24"/>
        <v>80</v>
      </c>
      <c r="J276" s="49">
        <v>10</v>
      </c>
      <c r="K276" s="60">
        <f t="shared" si="25"/>
        <v>800</v>
      </c>
      <c r="L276" s="56"/>
      <c r="M276" s="56"/>
      <c r="N276" s="56"/>
    </row>
    <row r="277" spans="1:14" s="13" customFormat="1" ht="24" customHeight="1" x14ac:dyDescent="0.25">
      <c r="A277" s="70">
        <v>35</v>
      </c>
      <c r="B277" s="49" t="s">
        <v>11</v>
      </c>
      <c r="C277" s="129"/>
      <c r="D277" s="146"/>
      <c r="E277" s="45" t="s">
        <v>791</v>
      </c>
      <c r="F277" s="42" t="s">
        <v>433</v>
      </c>
      <c r="G277" s="60">
        <v>50</v>
      </c>
      <c r="H277" s="115"/>
      <c r="I277" s="60">
        <f t="shared" si="24"/>
        <v>50</v>
      </c>
      <c r="J277" s="49">
        <v>55</v>
      </c>
      <c r="K277" s="60">
        <f t="shared" si="25"/>
        <v>2750</v>
      </c>
      <c r="L277" s="56"/>
      <c r="M277" s="56"/>
      <c r="N277" s="56"/>
    </row>
    <row r="278" spans="1:14" s="13" customFormat="1" ht="24" customHeight="1" x14ac:dyDescent="0.25">
      <c r="A278" s="70">
        <v>36</v>
      </c>
      <c r="B278" s="49" t="s">
        <v>11</v>
      </c>
      <c r="C278" s="129"/>
      <c r="D278" s="146"/>
      <c r="E278" s="45" t="s">
        <v>792</v>
      </c>
      <c r="F278" s="42" t="s">
        <v>433</v>
      </c>
      <c r="G278" s="60">
        <v>50</v>
      </c>
      <c r="H278" s="115"/>
      <c r="I278" s="60">
        <f t="shared" si="24"/>
        <v>50</v>
      </c>
      <c r="J278" s="49">
        <v>90</v>
      </c>
      <c r="K278" s="60">
        <f t="shared" si="25"/>
        <v>4500</v>
      </c>
      <c r="L278" s="56"/>
      <c r="M278" s="56"/>
      <c r="N278" s="56"/>
    </row>
    <row r="279" spans="1:14" s="13" customFormat="1" ht="24" customHeight="1" x14ac:dyDescent="0.25">
      <c r="A279" s="70">
        <v>37</v>
      </c>
      <c r="B279" s="49" t="s">
        <v>11</v>
      </c>
      <c r="C279" s="129"/>
      <c r="D279" s="146"/>
      <c r="E279" s="45" t="s">
        <v>793</v>
      </c>
      <c r="F279" s="42" t="s">
        <v>433</v>
      </c>
      <c r="G279" s="60">
        <v>50</v>
      </c>
      <c r="H279" s="43"/>
      <c r="I279" s="60">
        <f t="shared" si="24"/>
        <v>50</v>
      </c>
      <c r="J279" s="49">
        <v>50</v>
      </c>
      <c r="K279" s="60">
        <f t="shared" si="25"/>
        <v>2500</v>
      </c>
      <c r="L279" s="56"/>
      <c r="M279" s="56"/>
      <c r="N279" s="56"/>
    </row>
    <row r="280" spans="1:14" s="13" customFormat="1" ht="24" customHeight="1" x14ac:dyDescent="0.25">
      <c r="A280" s="70">
        <v>38</v>
      </c>
      <c r="B280" s="49" t="s">
        <v>11</v>
      </c>
      <c r="C280" s="129"/>
      <c r="D280" s="146"/>
      <c r="E280" s="45" t="s">
        <v>219</v>
      </c>
      <c r="F280" s="42" t="s">
        <v>433</v>
      </c>
      <c r="G280" s="60">
        <v>10</v>
      </c>
      <c r="H280" s="115"/>
      <c r="I280" s="60">
        <f t="shared" si="24"/>
        <v>10</v>
      </c>
      <c r="J280" s="49">
        <v>2</v>
      </c>
      <c r="K280" s="60">
        <f t="shared" si="25"/>
        <v>20</v>
      </c>
      <c r="L280" s="56"/>
      <c r="M280" s="56"/>
      <c r="N280" s="56"/>
    </row>
    <row r="281" spans="1:14" s="13" customFormat="1" ht="24" customHeight="1" x14ac:dyDescent="0.25">
      <c r="A281" s="70">
        <v>39</v>
      </c>
      <c r="B281" s="49" t="s">
        <v>11</v>
      </c>
      <c r="C281" s="129"/>
      <c r="D281" s="146"/>
      <c r="E281" s="45" t="s">
        <v>434</v>
      </c>
      <c r="F281" s="42" t="s">
        <v>435</v>
      </c>
      <c r="G281" s="60">
        <v>300</v>
      </c>
      <c r="H281" s="70"/>
      <c r="I281" s="60">
        <f t="shared" ref="I281:I298" si="26">SUM(G281:H281)</f>
        <v>300</v>
      </c>
      <c r="J281" s="49">
        <v>10</v>
      </c>
      <c r="K281" s="60">
        <f t="shared" si="25"/>
        <v>3000</v>
      </c>
      <c r="L281" s="56"/>
      <c r="M281" s="56"/>
      <c r="N281" s="56"/>
    </row>
    <row r="282" spans="1:14" s="13" customFormat="1" ht="24" customHeight="1" x14ac:dyDescent="0.25">
      <c r="A282" s="70">
        <v>40</v>
      </c>
      <c r="B282" s="49" t="s">
        <v>11</v>
      </c>
      <c r="C282" s="129"/>
      <c r="D282" s="146"/>
      <c r="E282" s="79" t="s">
        <v>891</v>
      </c>
      <c r="F282" s="42" t="s">
        <v>231</v>
      </c>
      <c r="G282" s="60">
        <v>40</v>
      </c>
      <c r="H282" s="70"/>
      <c r="I282" s="60">
        <f t="shared" si="26"/>
        <v>40</v>
      </c>
      <c r="J282" s="49">
        <v>40</v>
      </c>
      <c r="K282" s="60">
        <f t="shared" si="25"/>
        <v>1600</v>
      </c>
      <c r="L282" s="56"/>
      <c r="M282" s="56"/>
      <c r="N282" s="56"/>
    </row>
    <row r="283" spans="1:14" s="13" customFormat="1" ht="24" customHeight="1" x14ac:dyDescent="0.25">
      <c r="A283" s="70">
        <v>41</v>
      </c>
      <c r="B283" s="49" t="s">
        <v>11</v>
      </c>
      <c r="C283" s="129"/>
      <c r="D283" s="146"/>
      <c r="E283" s="45" t="s">
        <v>901</v>
      </c>
      <c r="F283" s="42" t="s">
        <v>410</v>
      </c>
      <c r="G283" s="60">
        <v>100</v>
      </c>
      <c r="H283" s="70"/>
      <c r="I283" s="60">
        <f t="shared" si="26"/>
        <v>100</v>
      </c>
      <c r="J283" s="49">
        <v>8</v>
      </c>
      <c r="K283" s="60">
        <f t="shared" si="25"/>
        <v>800</v>
      </c>
      <c r="L283" s="56"/>
      <c r="M283" s="56"/>
      <c r="N283" s="56"/>
    </row>
    <row r="284" spans="1:14" s="13" customFormat="1" ht="24" customHeight="1" x14ac:dyDescent="0.25">
      <c r="A284" s="70">
        <v>42</v>
      </c>
      <c r="B284" s="49" t="s">
        <v>11</v>
      </c>
      <c r="C284" s="129"/>
      <c r="D284" s="147"/>
      <c r="E284" s="45" t="s">
        <v>908</v>
      </c>
      <c r="F284" s="42" t="s">
        <v>873</v>
      </c>
      <c r="G284" s="60">
        <v>900</v>
      </c>
      <c r="H284" s="70"/>
      <c r="I284" s="60">
        <f t="shared" si="26"/>
        <v>900</v>
      </c>
      <c r="J284" s="49">
        <v>12</v>
      </c>
      <c r="K284" s="60">
        <f t="shared" si="25"/>
        <v>10800</v>
      </c>
      <c r="L284" s="56"/>
      <c r="M284" s="56"/>
      <c r="N284" s="56"/>
    </row>
    <row r="285" spans="1:14" s="13" customFormat="1" ht="24" customHeight="1" x14ac:dyDescent="0.25">
      <c r="A285" s="70">
        <v>43</v>
      </c>
      <c r="B285" s="49" t="s">
        <v>11</v>
      </c>
      <c r="C285" s="129"/>
      <c r="D285" s="45" t="s">
        <v>436</v>
      </c>
      <c r="E285" s="45" t="s">
        <v>437</v>
      </c>
      <c r="F285" s="42" t="s">
        <v>438</v>
      </c>
      <c r="G285" s="60">
        <v>11000</v>
      </c>
      <c r="H285" s="70"/>
      <c r="I285" s="60">
        <f t="shared" si="26"/>
        <v>11000</v>
      </c>
      <c r="J285" s="49">
        <v>432</v>
      </c>
      <c r="K285" s="60">
        <f t="shared" si="25"/>
        <v>4752000</v>
      </c>
      <c r="L285" s="56"/>
      <c r="M285" s="56"/>
      <c r="N285" s="56"/>
    </row>
    <row r="286" spans="1:14" s="13" customFormat="1" ht="24" customHeight="1" x14ac:dyDescent="0.25">
      <c r="A286" s="70">
        <v>44</v>
      </c>
      <c r="B286" s="49" t="s">
        <v>11</v>
      </c>
      <c r="C286" s="129"/>
      <c r="D286" s="45" t="s">
        <v>439</v>
      </c>
      <c r="E286" s="45" t="s">
        <v>440</v>
      </c>
      <c r="F286" s="42" t="s">
        <v>441</v>
      </c>
      <c r="G286" s="49"/>
      <c r="H286" s="48">
        <v>70000</v>
      </c>
      <c r="I286" s="60">
        <f t="shared" si="26"/>
        <v>70000</v>
      </c>
      <c r="J286" s="49">
        <v>12</v>
      </c>
      <c r="K286" s="60">
        <f t="shared" si="25"/>
        <v>840000</v>
      </c>
      <c r="L286" s="56"/>
      <c r="M286" s="56"/>
      <c r="N286" s="56"/>
    </row>
    <row r="287" spans="1:14" s="13" customFormat="1" ht="24" customHeight="1" x14ac:dyDescent="0.25">
      <c r="A287" s="70">
        <v>45</v>
      </c>
      <c r="B287" s="49" t="s">
        <v>11</v>
      </c>
      <c r="C287" s="129"/>
      <c r="D287" s="45" t="s">
        <v>442</v>
      </c>
      <c r="E287" s="45" t="s">
        <v>443</v>
      </c>
      <c r="F287" s="42" t="s">
        <v>218</v>
      </c>
      <c r="G287" s="60">
        <v>50000</v>
      </c>
      <c r="H287" s="70"/>
      <c r="I287" s="60">
        <f t="shared" si="26"/>
        <v>50000</v>
      </c>
      <c r="J287" s="49">
        <v>1</v>
      </c>
      <c r="K287" s="60">
        <f t="shared" si="25"/>
        <v>50000</v>
      </c>
      <c r="L287" s="56"/>
      <c r="M287" s="56"/>
      <c r="N287" s="56"/>
    </row>
    <row r="288" spans="1:14" s="33" customFormat="1" ht="24" customHeight="1" x14ac:dyDescent="0.25">
      <c r="A288" s="70">
        <v>46</v>
      </c>
      <c r="B288" s="49" t="s">
        <v>11</v>
      </c>
      <c r="C288" s="129"/>
      <c r="D288" s="45" t="s">
        <v>444</v>
      </c>
      <c r="E288" s="45" t="s">
        <v>445</v>
      </c>
      <c r="F288" s="42" t="s">
        <v>446</v>
      </c>
      <c r="G288" s="60"/>
      <c r="H288" s="48">
        <v>4000</v>
      </c>
      <c r="I288" s="60">
        <f t="shared" si="26"/>
        <v>4000</v>
      </c>
      <c r="J288" s="49">
        <v>78</v>
      </c>
      <c r="K288" s="60">
        <f t="shared" si="25"/>
        <v>312000</v>
      </c>
      <c r="L288" s="56"/>
      <c r="M288" s="56"/>
      <c r="N288" s="56"/>
    </row>
    <row r="289" spans="1:14" s="33" customFormat="1" ht="24" customHeight="1" x14ac:dyDescent="0.25">
      <c r="A289" s="70">
        <v>47</v>
      </c>
      <c r="B289" s="49" t="s">
        <v>11</v>
      </c>
      <c r="C289" s="129"/>
      <c r="D289" s="45" t="s">
        <v>447</v>
      </c>
      <c r="E289" s="49" t="s">
        <v>448</v>
      </c>
      <c r="F289" s="42" t="s">
        <v>449</v>
      </c>
      <c r="G289" s="60"/>
      <c r="H289" s="48">
        <v>50000</v>
      </c>
      <c r="I289" s="60">
        <f t="shared" si="26"/>
        <v>50000</v>
      </c>
      <c r="J289" s="49">
        <v>12</v>
      </c>
      <c r="K289" s="60">
        <f t="shared" si="25"/>
        <v>600000</v>
      </c>
      <c r="L289" s="56"/>
      <c r="M289" s="56"/>
      <c r="N289" s="56"/>
    </row>
    <row r="290" spans="1:14" s="33" customFormat="1" ht="24" customHeight="1" x14ac:dyDescent="0.3">
      <c r="A290" s="70">
        <v>48</v>
      </c>
      <c r="B290" s="49" t="s">
        <v>11</v>
      </c>
      <c r="C290" s="129"/>
      <c r="D290" s="45" t="s">
        <v>450</v>
      </c>
      <c r="E290" s="96" t="s">
        <v>225</v>
      </c>
      <c r="F290" s="42" t="s">
        <v>403</v>
      </c>
      <c r="G290" s="60">
        <v>8820</v>
      </c>
      <c r="H290" s="48"/>
      <c r="I290" s="60">
        <f t="shared" si="26"/>
        <v>8820</v>
      </c>
      <c r="J290" s="49">
        <v>12</v>
      </c>
      <c r="K290" s="60">
        <f t="shared" si="25"/>
        <v>105840</v>
      </c>
      <c r="L290" s="56"/>
      <c r="M290" s="56"/>
      <c r="N290" s="56"/>
    </row>
    <row r="291" spans="1:14" s="33" customFormat="1" ht="24" customHeight="1" x14ac:dyDescent="0.3">
      <c r="A291" s="70">
        <v>49</v>
      </c>
      <c r="B291" s="49" t="s">
        <v>11</v>
      </c>
      <c r="C291" s="129"/>
      <c r="D291" s="45" t="s">
        <v>451</v>
      </c>
      <c r="E291" s="96" t="s">
        <v>227</v>
      </c>
      <c r="F291" s="42" t="s">
        <v>403</v>
      </c>
      <c r="G291" s="60">
        <v>25941</v>
      </c>
      <c r="H291" s="48"/>
      <c r="I291" s="60">
        <f t="shared" si="26"/>
        <v>25941</v>
      </c>
      <c r="J291" s="49">
        <v>12</v>
      </c>
      <c r="K291" s="60">
        <f t="shared" si="25"/>
        <v>311292</v>
      </c>
      <c r="L291" s="56"/>
      <c r="M291" s="56"/>
      <c r="N291" s="56"/>
    </row>
    <row r="292" spans="1:14" s="33" customFormat="1" ht="24" customHeight="1" x14ac:dyDescent="0.25">
      <c r="A292" s="70">
        <v>50</v>
      </c>
      <c r="B292" s="49" t="s">
        <v>11</v>
      </c>
      <c r="C292" s="129"/>
      <c r="D292" s="45" t="s">
        <v>452</v>
      </c>
      <c r="E292" s="82" t="s">
        <v>484</v>
      </c>
      <c r="F292" s="50" t="s">
        <v>403</v>
      </c>
      <c r="G292" s="61">
        <v>2979</v>
      </c>
      <c r="H292" s="51"/>
      <c r="I292" s="61">
        <f>SUM(G292:H292)</f>
        <v>2979</v>
      </c>
      <c r="J292" s="52">
        <v>6</v>
      </c>
      <c r="K292" s="61">
        <f>I292*J292</f>
        <v>17874</v>
      </c>
      <c r="L292" s="56"/>
      <c r="M292" s="56"/>
      <c r="N292" s="56"/>
    </row>
    <row r="293" spans="1:14" s="33" customFormat="1" ht="24" customHeight="1" x14ac:dyDescent="0.25">
      <c r="A293" s="70">
        <v>51</v>
      </c>
      <c r="B293" s="49" t="s">
        <v>11</v>
      </c>
      <c r="C293" s="129"/>
      <c r="D293" s="45" t="s">
        <v>453</v>
      </c>
      <c r="E293" s="82" t="s">
        <v>23</v>
      </c>
      <c r="F293" s="50" t="s">
        <v>403</v>
      </c>
      <c r="G293" s="61">
        <v>898</v>
      </c>
      <c r="H293" s="51"/>
      <c r="I293" s="61">
        <f>SUM(G293:H293)</f>
        <v>898</v>
      </c>
      <c r="J293" s="52">
        <v>6</v>
      </c>
      <c r="K293" s="61">
        <f t="shared" ref="K293:K296" si="27">I293*J293</f>
        <v>5388</v>
      </c>
      <c r="L293" s="56"/>
      <c r="M293" s="56"/>
      <c r="N293" s="56"/>
    </row>
    <row r="294" spans="1:14" s="33" customFormat="1" ht="24" customHeight="1" x14ac:dyDescent="0.25">
      <c r="A294" s="70">
        <v>52</v>
      </c>
      <c r="B294" s="49" t="s">
        <v>11</v>
      </c>
      <c r="C294" s="129"/>
      <c r="D294" s="45" t="s">
        <v>487</v>
      </c>
      <c r="E294" s="53" t="s">
        <v>893</v>
      </c>
      <c r="F294" s="50" t="s">
        <v>485</v>
      </c>
      <c r="G294" s="61"/>
      <c r="H294" s="51">
        <v>12194</v>
      </c>
      <c r="I294" s="61">
        <f t="shared" ref="I294:I296" si="28">SUM(G294:H294)</f>
        <v>12194</v>
      </c>
      <c r="J294" s="52">
        <v>1</v>
      </c>
      <c r="K294" s="61">
        <f t="shared" si="27"/>
        <v>12194</v>
      </c>
      <c r="L294" s="56"/>
      <c r="M294" s="56"/>
      <c r="N294" s="56"/>
    </row>
    <row r="295" spans="1:14" s="33" customFormat="1" ht="24" customHeight="1" x14ac:dyDescent="0.25">
      <c r="A295" s="70">
        <v>53</v>
      </c>
      <c r="B295" s="49" t="s">
        <v>11</v>
      </c>
      <c r="C295" s="129"/>
      <c r="D295" s="45" t="s">
        <v>454</v>
      </c>
      <c r="E295" s="97" t="s">
        <v>486</v>
      </c>
      <c r="F295" s="50" t="s">
        <v>403</v>
      </c>
      <c r="G295" s="61">
        <v>2100</v>
      </c>
      <c r="H295" s="51"/>
      <c r="I295" s="61">
        <f t="shared" si="28"/>
        <v>2100</v>
      </c>
      <c r="J295" s="52">
        <v>6</v>
      </c>
      <c r="K295" s="61">
        <f t="shared" si="27"/>
        <v>12600</v>
      </c>
      <c r="L295" s="56"/>
      <c r="M295" s="56"/>
      <c r="N295" s="56"/>
    </row>
    <row r="296" spans="1:14" s="33" customFormat="1" ht="24" customHeight="1" x14ac:dyDescent="0.25">
      <c r="A296" s="70">
        <v>54</v>
      </c>
      <c r="B296" s="49" t="s">
        <v>11</v>
      </c>
      <c r="C296" s="129"/>
      <c r="D296" s="45" t="s">
        <v>455</v>
      </c>
      <c r="E296" s="82" t="s">
        <v>22</v>
      </c>
      <c r="F296" s="50" t="s">
        <v>403</v>
      </c>
      <c r="G296" s="61">
        <v>1152</v>
      </c>
      <c r="H296" s="51"/>
      <c r="I296" s="61">
        <f t="shared" si="28"/>
        <v>1152</v>
      </c>
      <c r="J296" s="52">
        <v>6</v>
      </c>
      <c r="K296" s="61">
        <f t="shared" si="27"/>
        <v>6912</v>
      </c>
      <c r="L296" s="56"/>
      <c r="M296" s="56"/>
      <c r="N296" s="56"/>
    </row>
    <row r="297" spans="1:14" s="33" customFormat="1" ht="24" customHeight="1" x14ac:dyDescent="0.25">
      <c r="A297" s="70">
        <v>55</v>
      </c>
      <c r="B297" s="49" t="s">
        <v>11</v>
      </c>
      <c r="C297" s="129"/>
      <c r="D297" s="45" t="s">
        <v>456</v>
      </c>
      <c r="E297" s="49" t="s">
        <v>4</v>
      </c>
      <c r="F297" s="42" t="s">
        <v>457</v>
      </c>
      <c r="G297" s="60">
        <v>30</v>
      </c>
      <c r="H297" s="48"/>
      <c r="I297" s="60">
        <f t="shared" si="26"/>
        <v>30</v>
      </c>
      <c r="J297" s="49">
        <v>50</v>
      </c>
      <c r="K297" s="60">
        <f t="shared" si="25"/>
        <v>1500</v>
      </c>
      <c r="L297" s="56"/>
      <c r="M297" s="56"/>
      <c r="N297" s="56"/>
    </row>
    <row r="298" spans="1:14" s="33" customFormat="1" ht="24" customHeight="1" x14ac:dyDescent="0.25">
      <c r="A298" s="70">
        <v>56</v>
      </c>
      <c r="B298" s="49" t="s">
        <v>11</v>
      </c>
      <c r="C298" s="129"/>
      <c r="D298" s="45" t="s">
        <v>458</v>
      </c>
      <c r="E298" s="49" t="s">
        <v>911</v>
      </c>
      <c r="F298" s="42" t="s">
        <v>457</v>
      </c>
      <c r="G298" s="60">
        <v>75</v>
      </c>
      <c r="H298" s="48"/>
      <c r="I298" s="60">
        <f t="shared" si="26"/>
        <v>75</v>
      </c>
      <c r="J298" s="49">
        <v>50</v>
      </c>
      <c r="K298" s="60">
        <f t="shared" si="25"/>
        <v>3750</v>
      </c>
      <c r="L298" s="56"/>
      <c r="M298" s="56"/>
      <c r="N298" s="56"/>
    </row>
    <row r="299" spans="1:14" s="33" customFormat="1" ht="24" customHeight="1" x14ac:dyDescent="0.3">
      <c r="A299" s="70">
        <v>57</v>
      </c>
      <c r="B299" s="49" t="s">
        <v>11</v>
      </c>
      <c r="C299" s="129"/>
      <c r="D299" s="52" t="s">
        <v>612</v>
      </c>
      <c r="E299" s="106" t="s">
        <v>613</v>
      </c>
      <c r="F299" s="101" t="s">
        <v>226</v>
      </c>
      <c r="G299" s="61">
        <v>305</v>
      </c>
      <c r="H299" s="51"/>
      <c r="I299" s="61">
        <f t="shared" ref="I299" si="29">SUM(G299:H299)</f>
        <v>305</v>
      </c>
      <c r="J299" s="52">
        <v>78</v>
      </c>
      <c r="K299" s="61">
        <f t="shared" si="25"/>
        <v>23790</v>
      </c>
      <c r="L299" s="56"/>
      <c r="M299" s="56"/>
      <c r="N299" s="56"/>
    </row>
    <row r="300" spans="1:14" s="33" customFormat="1" ht="24" customHeight="1" x14ac:dyDescent="0.25">
      <c r="A300" s="70">
        <v>58</v>
      </c>
      <c r="B300" s="49" t="s">
        <v>11</v>
      </c>
      <c r="C300" s="139" t="s">
        <v>268</v>
      </c>
      <c r="D300" s="52" t="s">
        <v>269</v>
      </c>
      <c r="E300" s="52" t="s">
        <v>459</v>
      </c>
      <c r="F300" s="52" t="s">
        <v>270</v>
      </c>
      <c r="G300" s="61">
        <v>5544911.9400000004</v>
      </c>
      <c r="H300" s="61"/>
      <c r="I300" s="61">
        <f t="shared" ref="I300:I307" si="30">SUM(G300:H300)</f>
        <v>5544911.9400000004</v>
      </c>
      <c r="J300" s="95">
        <v>1</v>
      </c>
      <c r="K300" s="61">
        <f t="shared" si="25"/>
        <v>5544911.9400000004</v>
      </c>
      <c r="L300" s="56"/>
      <c r="M300" s="56"/>
      <c r="N300" s="56"/>
    </row>
    <row r="301" spans="1:14" s="33" customFormat="1" ht="24" customHeight="1" x14ac:dyDescent="0.25">
      <c r="A301" s="70">
        <v>59</v>
      </c>
      <c r="B301" s="49" t="s">
        <v>11</v>
      </c>
      <c r="C301" s="139"/>
      <c r="D301" s="52" t="s">
        <v>271</v>
      </c>
      <c r="E301" s="79" t="s">
        <v>917</v>
      </c>
      <c r="F301" s="52" t="s">
        <v>261</v>
      </c>
      <c r="G301" s="61">
        <v>60</v>
      </c>
      <c r="H301" s="61"/>
      <c r="I301" s="61">
        <f t="shared" si="30"/>
        <v>60</v>
      </c>
      <c r="J301" s="95">
        <v>6</v>
      </c>
      <c r="K301" s="61">
        <f t="shared" si="25"/>
        <v>360</v>
      </c>
      <c r="L301" s="56"/>
      <c r="M301" s="56"/>
      <c r="N301" s="56"/>
    </row>
    <row r="302" spans="1:14" s="33" customFormat="1" ht="24" customHeight="1" x14ac:dyDescent="0.25">
      <c r="A302" s="70">
        <v>60</v>
      </c>
      <c r="B302" s="49" t="s">
        <v>11</v>
      </c>
      <c r="C302" s="139"/>
      <c r="D302" s="52" t="s">
        <v>271</v>
      </c>
      <c r="E302" s="79" t="s">
        <v>857</v>
      </c>
      <c r="F302" s="52" t="s">
        <v>261</v>
      </c>
      <c r="G302" s="61">
        <v>60</v>
      </c>
      <c r="H302" s="61"/>
      <c r="I302" s="61">
        <f t="shared" si="30"/>
        <v>60</v>
      </c>
      <c r="J302" s="95">
        <v>5</v>
      </c>
      <c r="K302" s="61">
        <f t="shared" si="25"/>
        <v>300</v>
      </c>
      <c r="L302" s="56"/>
      <c r="M302" s="56"/>
      <c r="N302" s="56"/>
    </row>
    <row r="303" spans="1:14" s="33" customFormat="1" ht="24" customHeight="1" x14ac:dyDescent="0.25">
      <c r="A303" s="70">
        <v>61</v>
      </c>
      <c r="B303" s="49" t="s">
        <v>11</v>
      </c>
      <c r="C303" s="139"/>
      <c r="D303" s="52" t="s">
        <v>272</v>
      </c>
      <c r="E303" s="79" t="s">
        <v>918</v>
      </c>
      <c r="F303" s="52" t="s">
        <v>261</v>
      </c>
      <c r="G303" s="61">
        <v>60</v>
      </c>
      <c r="H303" s="61"/>
      <c r="I303" s="61">
        <f t="shared" si="30"/>
        <v>60</v>
      </c>
      <c r="J303" s="95">
        <v>1</v>
      </c>
      <c r="K303" s="61">
        <f t="shared" si="25"/>
        <v>60</v>
      </c>
      <c r="L303" s="56"/>
      <c r="M303" s="56"/>
      <c r="N303" s="56"/>
    </row>
    <row r="304" spans="1:14" s="33" customFormat="1" ht="24" customHeight="1" x14ac:dyDescent="0.25">
      <c r="A304" s="70">
        <v>62</v>
      </c>
      <c r="B304" s="49" t="s">
        <v>11</v>
      </c>
      <c r="C304" s="139"/>
      <c r="D304" s="52" t="s">
        <v>273</v>
      </c>
      <c r="E304" s="52" t="s">
        <v>919</v>
      </c>
      <c r="F304" s="52" t="s">
        <v>460</v>
      </c>
      <c r="G304" s="61">
        <v>400</v>
      </c>
      <c r="H304" s="61"/>
      <c r="I304" s="61">
        <f t="shared" si="30"/>
        <v>400</v>
      </c>
      <c r="J304" s="95">
        <v>1</v>
      </c>
      <c r="K304" s="61">
        <f t="shared" si="25"/>
        <v>400</v>
      </c>
      <c r="L304" s="56"/>
      <c r="M304" s="56"/>
      <c r="N304" s="56"/>
    </row>
    <row r="305" spans="1:14" s="33" customFormat="1" ht="24" customHeight="1" x14ac:dyDescent="0.25">
      <c r="A305" s="70">
        <v>63</v>
      </c>
      <c r="B305" s="49" t="s">
        <v>11</v>
      </c>
      <c r="C305" s="139"/>
      <c r="D305" s="52" t="s">
        <v>275</v>
      </c>
      <c r="E305" s="52" t="s">
        <v>276</v>
      </c>
      <c r="F305" s="52" t="s">
        <v>277</v>
      </c>
      <c r="G305" s="61">
        <v>7500</v>
      </c>
      <c r="H305" s="61"/>
      <c r="I305" s="61">
        <f t="shared" si="30"/>
        <v>7500</v>
      </c>
      <c r="J305" s="95">
        <v>1</v>
      </c>
      <c r="K305" s="61">
        <f t="shared" si="25"/>
        <v>7500</v>
      </c>
      <c r="L305" s="56"/>
      <c r="M305" s="56"/>
      <c r="N305" s="56"/>
    </row>
    <row r="306" spans="1:14" s="33" customFormat="1" ht="24" customHeight="1" x14ac:dyDescent="0.25">
      <c r="A306" s="70">
        <v>64</v>
      </c>
      <c r="B306" s="49" t="s">
        <v>11</v>
      </c>
      <c r="C306" s="139"/>
      <c r="D306" s="52" t="s">
        <v>278</v>
      </c>
      <c r="E306" s="52" t="s">
        <v>279</v>
      </c>
      <c r="F306" s="52" t="s">
        <v>254</v>
      </c>
      <c r="G306" s="61"/>
      <c r="H306" s="61">
        <v>410000</v>
      </c>
      <c r="I306" s="61">
        <f t="shared" si="30"/>
        <v>410000</v>
      </c>
      <c r="J306" s="95">
        <v>1</v>
      </c>
      <c r="K306" s="61">
        <f t="shared" si="25"/>
        <v>410000</v>
      </c>
      <c r="L306" s="56"/>
      <c r="M306" s="56"/>
      <c r="N306" s="56"/>
    </row>
    <row r="307" spans="1:14" s="33" customFormat="1" ht="24" customHeight="1" x14ac:dyDescent="0.25">
      <c r="A307" s="70">
        <v>65</v>
      </c>
      <c r="B307" s="49" t="s">
        <v>11</v>
      </c>
      <c r="C307" s="139"/>
      <c r="D307" s="52" t="s">
        <v>280</v>
      </c>
      <c r="E307" s="79" t="s">
        <v>921</v>
      </c>
      <c r="F307" s="52" t="s">
        <v>281</v>
      </c>
      <c r="G307" s="61">
        <v>50</v>
      </c>
      <c r="H307" s="61"/>
      <c r="I307" s="61">
        <f t="shared" si="30"/>
        <v>50</v>
      </c>
      <c r="J307" s="95">
        <v>3</v>
      </c>
      <c r="K307" s="61">
        <f t="shared" si="25"/>
        <v>150</v>
      </c>
      <c r="L307" s="56"/>
      <c r="M307" s="56"/>
      <c r="N307" s="56"/>
    </row>
    <row r="308" spans="1:14" s="33" customFormat="1" ht="24" customHeight="1" x14ac:dyDescent="0.25">
      <c r="A308" s="70">
        <v>66</v>
      </c>
      <c r="B308" s="49" t="s">
        <v>11</v>
      </c>
      <c r="C308" s="139"/>
      <c r="D308" s="52" t="s">
        <v>282</v>
      </c>
      <c r="E308" s="52" t="s">
        <v>920</v>
      </c>
      <c r="F308" s="52" t="s">
        <v>281</v>
      </c>
      <c r="G308" s="61">
        <v>80</v>
      </c>
      <c r="H308" s="61"/>
      <c r="I308" s="61">
        <v>100</v>
      </c>
      <c r="J308" s="95">
        <v>3</v>
      </c>
      <c r="K308" s="61">
        <f t="shared" si="25"/>
        <v>300</v>
      </c>
      <c r="L308" s="56"/>
      <c r="M308" s="56"/>
      <c r="N308" s="56"/>
    </row>
    <row r="309" spans="1:14" s="33" customFormat="1" ht="24" customHeight="1" x14ac:dyDescent="0.25">
      <c r="A309" s="70">
        <v>67</v>
      </c>
      <c r="B309" s="49" t="s">
        <v>11</v>
      </c>
      <c r="C309" s="129" t="s">
        <v>379</v>
      </c>
      <c r="D309" s="52" t="s">
        <v>380</v>
      </c>
      <c r="E309" s="52" t="s">
        <v>381</v>
      </c>
      <c r="F309" s="52" t="s">
        <v>382</v>
      </c>
      <c r="G309" s="61">
        <v>4326325</v>
      </c>
      <c r="H309" s="61"/>
      <c r="I309" s="61">
        <f t="shared" ref="I309:I372" si="31">SUM(G309:H309)</f>
        <v>4326325</v>
      </c>
      <c r="J309" s="95">
        <v>1</v>
      </c>
      <c r="K309" s="61">
        <f t="shared" si="25"/>
        <v>4326325</v>
      </c>
      <c r="L309" s="56"/>
      <c r="M309" s="56"/>
      <c r="N309" s="56"/>
    </row>
    <row r="310" spans="1:14" s="33" customFormat="1" ht="24" customHeight="1" x14ac:dyDescent="0.25">
      <c r="A310" s="70">
        <v>68</v>
      </c>
      <c r="B310" s="49" t="s">
        <v>11</v>
      </c>
      <c r="C310" s="129"/>
      <c r="D310" s="52" t="s">
        <v>383</v>
      </c>
      <c r="E310" s="52" t="s">
        <v>384</v>
      </c>
      <c r="F310" s="52" t="s">
        <v>385</v>
      </c>
      <c r="G310" s="61">
        <v>11200</v>
      </c>
      <c r="H310" s="61"/>
      <c r="I310" s="61">
        <f t="shared" si="31"/>
        <v>11200</v>
      </c>
      <c r="J310" s="95">
        <v>5</v>
      </c>
      <c r="K310" s="61">
        <f t="shared" si="25"/>
        <v>56000</v>
      </c>
      <c r="L310" s="56"/>
      <c r="M310" s="56"/>
      <c r="N310" s="56"/>
    </row>
    <row r="311" spans="1:14" s="33" customFormat="1" ht="24" customHeight="1" x14ac:dyDescent="0.25">
      <c r="A311" s="70">
        <v>69</v>
      </c>
      <c r="B311" s="49" t="s">
        <v>11</v>
      </c>
      <c r="C311" s="129"/>
      <c r="D311" s="52" t="s">
        <v>461</v>
      </c>
      <c r="E311" s="52" t="s">
        <v>954</v>
      </c>
      <c r="F311" s="52" t="s">
        <v>261</v>
      </c>
      <c r="G311" s="61">
        <v>20</v>
      </c>
      <c r="H311" s="61"/>
      <c r="I311" s="61">
        <f t="shared" si="31"/>
        <v>20</v>
      </c>
      <c r="J311" s="95">
        <v>4</v>
      </c>
      <c r="K311" s="61">
        <f t="shared" si="25"/>
        <v>80</v>
      </c>
      <c r="L311" s="56"/>
      <c r="M311" s="56"/>
      <c r="N311" s="56"/>
    </row>
    <row r="312" spans="1:14" s="33" customFormat="1" ht="24" customHeight="1" x14ac:dyDescent="0.25">
      <c r="A312" s="70">
        <v>70</v>
      </c>
      <c r="B312" s="49" t="s">
        <v>11</v>
      </c>
      <c r="C312" s="129"/>
      <c r="D312" s="52" t="s">
        <v>462</v>
      </c>
      <c r="E312" s="52" t="s">
        <v>890</v>
      </c>
      <c r="F312" s="52" t="s">
        <v>261</v>
      </c>
      <c r="G312" s="61">
        <v>20</v>
      </c>
      <c r="H312" s="61"/>
      <c r="I312" s="61">
        <f t="shared" si="31"/>
        <v>20</v>
      </c>
      <c r="J312" s="95">
        <v>4</v>
      </c>
      <c r="K312" s="61">
        <f t="shared" si="25"/>
        <v>80</v>
      </c>
      <c r="L312" s="56"/>
      <c r="M312" s="56"/>
      <c r="N312" s="56"/>
    </row>
    <row r="313" spans="1:14" s="33" customFormat="1" ht="24" customHeight="1" x14ac:dyDescent="0.25">
      <c r="A313" s="70">
        <v>71</v>
      </c>
      <c r="B313" s="49" t="s">
        <v>11</v>
      </c>
      <c r="C313" s="129"/>
      <c r="D313" s="52" t="s">
        <v>922</v>
      </c>
      <c r="E313" s="52" t="s">
        <v>386</v>
      </c>
      <c r="F313" s="52" t="s">
        <v>387</v>
      </c>
      <c r="G313" s="61">
        <v>110</v>
      </c>
      <c r="H313" s="61"/>
      <c r="I313" s="61">
        <f t="shared" si="31"/>
        <v>110</v>
      </c>
      <c r="J313" s="95">
        <v>4</v>
      </c>
      <c r="K313" s="61">
        <f t="shared" si="25"/>
        <v>440</v>
      </c>
      <c r="L313" s="56"/>
      <c r="M313" s="56"/>
      <c r="N313" s="56"/>
    </row>
    <row r="314" spans="1:14" s="33" customFormat="1" ht="24" customHeight="1" x14ac:dyDescent="0.25">
      <c r="A314" s="70">
        <v>72</v>
      </c>
      <c r="B314" s="49" t="s">
        <v>11</v>
      </c>
      <c r="C314" s="129" t="s">
        <v>248</v>
      </c>
      <c r="D314" s="52" t="s">
        <v>249</v>
      </c>
      <c r="E314" s="52" t="s">
        <v>250</v>
      </c>
      <c r="F314" s="52" t="s">
        <v>251</v>
      </c>
      <c r="G314" s="61">
        <v>2586343</v>
      </c>
      <c r="H314" s="61"/>
      <c r="I314" s="61">
        <f t="shared" si="31"/>
        <v>2586343</v>
      </c>
      <c r="J314" s="95">
        <v>1</v>
      </c>
      <c r="K314" s="61">
        <f t="shared" si="25"/>
        <v>2586343</v>
      </c>
      <c r="L314" s="56"/>
      <c r="M314" s="56"/>
      <c r="N314" s="56"/>
    </row>
    <row r="315" spans="1:14" s="33" customFormat="1" ht="24" customHeight="1" x14ac:dyDescent="0.25">
      <c r="A315" s="70">
        <v>73</v>
      </c>
      <c r="B315" s="49" t="s">
        <v>11</v>
      </c>
      <c r="C315" s="129"/>
      <c r="D315" s="52" t="s">
        <v>252</v>
      </c>
      <c r="E315" s="52" t="s">
        <v>253</v>
      </c>
      <c r="F315" s="52" t="s">
        <v>215</v>
      </c>
      <c r="G315" s="61"/>
      <c r="H315" s="61">
        <v>300000</v>
      </c>
      <c r="I315" s="61">
        <f t="shared" si="31"/>
        <v>300000</v>
      </c>
      <c r="J315" s="95">
        <v>1</v>
      </c>
      <c r="K315" s="61">
        <f t="shared" si="25"/>
        <v>300000</v>
      </c>
      <c r="L315" s="56"/>
      <c r="M315" s="56"/>
      <c r="N315" s="56"/>
    </row>
    <row r="316" spans="1:14" s="33" customFormat="1" ht="24" customHeight="1" x14ac:dyDescent="0.25">
      <c r="A316" s="70">
        <v>74</v>
      </c>
      <c r="B316" s="49" t="s">
        <v>11</v>
      </c>
      <c r="C316" s="129"/>
      <c r="D316" s="52" t="s">
        <v>849</v>
      </c>
      <c r="E316" s="52" t="s">
        <v>255</v>
      </c>
      <c r="F316" s="52" t="s">
        <v>215</v>
      </c>
      <c r="G316" s="61"/>
      <c r="H316" s="61">
        <v>350000</v>
      </c>
      <c r="I316" s="61">
        <f t="shared" si="31"/>
        <v>350000</v>
      </c>
      <c r="J316" s="95">
        <v>1</v>
      </c>
      <c r="K316" s="61">
        <f t="shared" si="25"/>
        <v>350000</v>
      </c>
      <c r="L316" s="56"/>
      <c r="M316" s="56"/>
      <c r="N316" s="56"/>
    </row>
    <row r="317" spans="1:14" s="33" customFormat="1" ht="24" customHeight="1" x14ac:dyDescent="0.25">
      <c r="A317" s="70">
        <v>75</v>
      </c>
      <c r="B317" s="49" t="s">
        <v>11</v>
      </c>
      <c r="C317" s="129"/>
      <c r="D317" s="52" t="s">
        <v>256</v>
      </c>
      <c r="E317" s="52" t="s">
        <v>257</v>
      </c>
      <c r="F317" s="52" t="s">
        <v>108</v>
      </c>
      <c r="G317" s="61"/>
      <c r="H317" s="61">
        <f>150000</f>
        <v>150000</v>
      </c>
      <c r="I317" s="61">
        <f t="shared" si="31"/>
        <v>150000</v>
      </c>
      <c r="J317" s="95">
        <v>1</v>
      </c>
      <c r="K317" s="61">
        <f t="shared" si="25"/>
        <v>150000</v>
      </c>
      <c r="L317" s="56"/>
      <c r="M317" s="56"/>
      <c r="N317" s="56"/>
    </row>
    <row r="318" spans="1:14" s="33" customFormat="1" ht="24" customHeight="1" x14ac:dyDescent="0.25">
      <c r="A318" s="70">
        <v>76</v>
      </c>
      <c r="B318" s="49" t="s">
        <v>11</v>
      </c>
      <c r="C318" s="129"/>
      <c r="D318" s="52" t="s">
        <v>258</v>
      </c>
      <c r="E318" s="52" t="s">
        <v>259</v>
      </c>
      <c r="F318" s="52" t="s">
        <v>108</v>
      </c>
      <c r="G318" s="61"/>
      <c r="H318" s="61">
        <f>150000</f>
        <v>150000</v>
      </c>
      <c r="I318" s="61">
        <f t="shared" si="31"/>
        <v>150000</v>
      </c>
      <c r="J318" s="95">
        <v>1</v>
      </c>
      <c r="K318" s="61">
        <f t="shared" si="25"/>
        <v>150000</v>
      </c>
      <c r="L318" s="56"/>
      <c r="M318" s="56"/>
      <c r="N318" s="56"/>
    </row>
    <row r="319" spans="1:14" s="33" customFormat="1" ht="24" customHeight="1" x14ac:dyDescent="0.25">
      <c r="A319" s="70">
        <v>77</v>
      </c>
      <c r="B319" s="49" t="s">
        <v>11</v>
      </c>
      <c r="C319" s="129"/>
      <c r="D319" s="52" t="s">
        <v>260</v>
      </c>
      <c r="E319" s="52" t="s">
        <v>955</v>
      </c>
      <c r="F319" s="52" t="s">
        <v>261</v>
      </c>
      <c r="G319" s="61">
        <v>50</v>
      </c>
      <c r="H319" s="61"/>
      <c r="I319" s="61">
        <f t="shared" si="31"/>
        <v>50</v>
      </c>
      <c r="J319" s="95">
        <v>24</v>
      </c>
      <c r="K319" s="61">
        <f t="shared" ref="K319:K382" si="32">I319*J319</f>
        <v>1200</v>
      </c>
      <c r="L319" s="56"/>
      <c r="M319" s="56"/>
      <c r="N319" s="56"/>
    </row>
    <row r="320" spans="1:14" s="33" customFormat="1" ht="24" customHeight="1" x14ac:dyDescent="0.25">
      <c r="A320" s="70">
        <v>78</v>
      </c>
      <c r="B320" s="49" t="s">
        <v>11</v>
      </c>
      <c r="C320" s="129"/>
      <c r="D320" s="52" t="s">
        <v>463</v>
      </c>
      <c r="E320" s="52" t="s">
        <v>923</v>
      </c>
      <c r="F320" s="52" t="s">
        <v>460</v>
      </c>
      <c r="G320" s="61">
        <v>120</v>
      </c>
      <c r="H320" s="61"/>
      <c r="I320" s="61">
        <f t="shared" si="31"/>
        <v>120</v>
      </c>
      <c r="J320" s="95">
        <v>24</v>
      </c>
      <c r="K320" s="61">
        <f t="shared" si="32"/>
        <v>2880</v>
      </c>
      <c r="L320" s="56"/>
      <c r="M320" s="56"/>
      <c r="N320" s="56"/>
    </row>
    <row r="321" spans="1:14" s="33" customFormat="1" ht="24" customHeight="1" x14ac:dyDescent="0.25">
      <c r="A321" s="70">
        <v>79</v>
      </c>
      <c r="B321" s="49" t="s">
        <v>11</v>
      </c>
      <c r="C321" s="129"/>
      <c r="D321" s="52" t="s">
        <v>262</v>
      </c>
      <c r="E321" s="52" t="s">
        <v>263</v>
      </c>
      <c r="F321" s="52" t="s">
        <v>264</v>
      </c>
      <c r="G321" s="61">
        <v>15000</v>
      </c>
      <c r="H321" s="61"/>
      <c r="I321" s="61">
        <f t="shared" si="31"/>
        <v>15000</v>
      </c>
      <c r="J321" s="95">
        <v>1</v>
      </c>
      <c r="K321" s="61">
        <f t="shared" si="32"/>
        <v>15000</v>
      </c>
      <c r="L321" s="56"/>
      <c r="M321" s="56"/>
      <c r="N321" s="56"/>
    </row>
    <row r="322" spans="1:14" s="33" customFormat="1" ht="24" customHeight="1" x14ac:dyDescent="0.25">
      <c r="A322" s="70">
        <v>80</v>
      </c>
      <c r="B322" s="49" t="s">
        <v>11</v>
      </c>
      <c r="C322" s="129"/>
      <c r="D322" s="52" t="s">
        <v>265</v>
      </c>
      <c r="E322" s="52" t="s">
        <v>266</v>
      </c>
      <c r="F322" s="52" t="s">
        <v>267</v>
      </c>
      <c r="G322" s="61">
        <v>47800</v>
      </c>
      <c r="H322" s="61"/>
      <c r="I322" s="61">
        <f t="shared" si="31"/>
        <v>47800</v>
      </c>
      <c r="J322" s="95">
        <v>1</v>
      </c>
      <c r="K322" s="61">
        <f t="shared" si="32"/>
        <v>47800</v>
      </c>
      <c r="L322" s="56"/>
      <c r="M322" s="56"/>
      <c r="N322" s="56"/>
    </row>
    <row r="323" spans="1:14" s="33" customFormat="1" ht="24" customHeight="1" x14ac:dyDescent="0.25">
      <c r="A323" s="70">
        <v>81</v>
      </c>
      <c r="B323" s="49" t="s">
        <v>11</v>
      </c>
      <c r="C323" s="151" t="s">
        <v>283</v>
      </c>
      <c r="D323" s="52" t="s">
        <v>284</v>
      </c>
      <c r="E323" s="52" t="s">
        <v>464</v>
      </c>
      <c r="F323" s="52" t="s">
        <v>465</v>
      </c>
      <c r="G323" s="61"/>
      <c r="H323" s="61">
        <v>180000</v>
      </c>
      <c r="I323" s="61">
        <f t="shared" si="31"/>
        <v>180000</v>
      </c>
      <c r="J323" s="95">
        <v>1</v>
      </c>
      <c r="K323" s="61">
        <f t="shared" si="32"/>
        <v>180000</v>
      </c>
      <c r="L323" s="56"/>
      <c r="M323" s="56"/>
      <c r="N323" s="56"/>
    </row>
    <row r="324" spans="1:14" s="33" customFormat="1" ht="24" customHeight="1" x14ac:dyDescent="0.25">
      <c r="A324" s="70">
        <v>82</v>
      </c>
      <c r="B324" s="49" t="s">
        <v>11</v>
      </c>
      <c r="C324" s="152"/>
      <c r="D324" s="52" t="s">
        <v>285</v>
      </c>
      <c r="E324" s="52" t="s">
        <v>286</v>
      </c>
      <c r="F324" s="52" t="s">
        <v>254</v>
      </c>
      <c r="G324" s="61"/>
      <c r="H324" s="61">
        <v>50000</v>
      </c>
      <c r="I324" s="61">
        <f t="shared" si="31"/>
        <v>50000</v>
      </c>
      <c r="J324" s="95">
        <v>1</v>
      </c>
      <c r="K324" s="61">
        <f t="shared" si="32"/>
        <v>50000</v>
      </c>
      <c r="L324" s="56"/>
      <c r="M324" s="56"/>
      <c r="N324" s="56"/>
    </row>
    <row r="325" spans="1:14" s="33" customFormat="1" ht="24" customHeight="1" x14ac:dyDescent="0.25">
      <c r="A325" s="70">
        <v>83</v>
      </c>
      <c r="B325" s="49" t="s">
        <v>11</v>
      </c>
      <c r="C325" s="152"/>
      <c r="D325" s="52" t="s">
        <v>287</v>
      </c>
      <c r="E325" s="52" t="s">
        <v>288</v>
      </c>
      <c r="F325" s="52" t="s">
        <v>289</v>
      </c>
      <c r="G325" s="61">
        <v>114000</v>
      </c>
      <c r="H325" s="61"/>
      <c r="I325" s="61">
        <f t="shared" si="31"/>
        <v>114000</v>
      </c>
      <c r="J325" s="95">
        <v>1</v>
      </c>
      <c r="K325" s="61">
        <f t="shared" si="32"/>
        <v>114000</v>
      </c>
      <c r="L325" s="56"/>
      <c r="M325" s="56"/>
      <c r="N325" s="56"/>
    </row>
    <row r="326" spans="1:14" s="33" customFormat="1" ht="24" customHeight="1" x14ac:dyDescent="0.25">
      <c r="A326" s="70">
        <v>84</v>
      </c>
      <c r="B326" s="49" t="s">
        <v>11</v>
      </c>
      <c r="C326" s="152"/>
      <c r="D326" s="52" t="s">
        <v>290</v>
      </c>
      <c r="E326" s="52" t="s">
        <v>290</v>
      </c>
      <c r="F326" s="52" t="s">
        <v>291</v>
      </c>
      <c r="G326" s="61">
        <v>55000</v>
      </c>
      <c r="H326" s="61"/>
      <c r="I326" s="61">
        <f t="shared" si="31"/>
        <v>55000</v>
      </c>
      <c r="J326" s="95">
        <v>2</v>
      </c>
      <c r="K326" s="61">
        <f t="shared" si="32"/>
        <v>110000</v>
      </c>
      <c r="L326" s="56"/>
      <c r="M326" s="56"/>
      <c r="N326" s="56"/>
    </row>
    <row r="327" spans="1:14" s="33" customFormat="1" ht="24" customHeight="1" x14ac:dyDescent="0.25">
      <c r="A327" s="70">
        <v>85</v>
      </c>
      <c r="B327" s="49" t="s">
        <v>11</v>
      </c>
      <c r="C327" s="152"/>
      <c r="D327" s="52" t="s">
        <v>292</v>
      </c>
      <c r="E327" s="52" t="s">
        <v>956</v>
      </c>
      <c r="F327" s="52" t="s">
        <v>274</v>
      </c>
      <c r="G327" s="61">
        <v>60</v>
      </c>
      <c r="H327" s="61"/>
      <c r="I327" s="61">
        <f t="shared" si="31"/>
        <v>60</v>
      </c>
      <c r="J327" s="95">
        <v>2</v>
      </c>
      <c r="K327" s="61">
        <f t="shared" si="32"/>
        <v>120</v>
      </c>
      <c r="L327" s="56"/>
      <c r="M327" s="56"/>
      <c r="N327" s="56"/>
    </row>
    <row r="328" spans="1:14" s="33" customFormat="1" ht="24" customHeight="1" x14ac:dyDescent="0.25">
      <c r="A328" s="70">
        <v>86</v>
      </c>
      <c r="B328" s="49" t="s">
        <v>11</v>
      </c>
      <c r="C328" s="152"/>
      <c r="D328" s="52" t="s">
        <v>293</v>
      </c>
      <c r="E328" s="52" t="s">
        <v>294</v>
      </c>
      <c r="F328" s="52" t="s">
        <v>465</v>
      </c>
      <c r="G328" s="61"/>
      <c r="H328" s="61">
        <v>200000</v>
      </c>
      <c r="I328" s="61">
        <f t="shared" si="31"/>
        <v>200000</v>
      </c>
      <c r="J328" s="95">
        <v>2</v>
      </c>
      <c r="K328" s="61">
        <f t="shared" si="32"/>
        <v>400000</v>
      </c>
      <c r="L328" s="56"/>
      <c r="M328" s="56"/>
      <c r="N328" s="56"/>
    </row>
    <row r="329" spans="1:14" s="33" customFormat="1" ht="24" customHeight="1" x14ac:dyDescent="0.25">
      <c r="A329" s="70">
        <v>87</v>
      </c>
      <c r="B329" s="49" t="s">
        <v>11</v>
      </c>
      <c r="C329" s="152"/>
      <c r="D329" s="52" t="s">
        <v>466</v>
      </c>
      <c r="E329" s="52" t="s">
        <v>467</v>
      </c>
      <c r="F329" s="52" t="s">
        <v>389</v>
      </c>
      <c r="G329" s="61"/>
      <c r="H329" s="61">
        <v>5000</v>
      </c>
      <c r="I329" s="61">
        <f>SUM(G329:H329)</f>
        <v>5000</v>
      </c>
      <c r="J329" s="95">
        <v>2</v>
      </c>
      <c r="K329" s="61">
        <f>I329*J329</f>
        <v>10000</v>
      </c>
      <c r="L329" s="56"/>
      <c r="M329" s="56"/>
      <c r="N329" s="56"/>
    </row>
    <row r="330" spans="1:14" s="33" customFormat="1" ht="24" customHeight="1" x14ac:dyDescent="0.25">
      <c r="A330" s="70">
        <v>88</v>
      </c>
      <c r="B330" s="49" t="s">
        <v>11</v>
      </c>
      <c r="C330" s="152"/>
      <c r="D330" s="52" t="s">
        <v>468</v>
      </c>
      <c r="E330" s="52" t="s">
        <v>957</v>
      </c>
      <c r="F330" s="52" t="s">
        <v>469</v>
      </c>
      <c r="G330" s="61">
        <v>50</v>
      </c>
      <c r="H330" s="61"/>
      <c r="I330" s="61">
        <f>SUM(G330:H330)</f>
        <v>50</v>
      </c>
      <c r="J330" s="95">
        <v>6</v>
      </c>
      <c r="K330" s="61">
        <f>I330*J330</f>
        <v>300</v>
      </c>
      <c r="L330" s="56"/>
      <c r="M330" s="56"/>
      <c r="N330" s="56"/>
    </row>
    <row r="331" spans="1:14" s="33" customFormat="1" ht="24" customHeight="1" x14ac:dyDescent="0.25">
      <c r="A331" s="70">
        <v>89</v>
      </c>
      <c r="B331" s="49" t="s">
        <v>11</v>
      </c>
      <c r="C331" s="152"/>
      <c r="D331" s="52" t="s">
        <v>295</v>
      </c>
      <c r="E331" s="52" t="s">
        <v>924</v>
      </c>
      <c r="F331" s="52" t="s">
        <v>264</v>
      </c>
      <c r="G331" s="61">
        <v>150</v>
      </c>
      <c r="H331" s="61"/>
      <c r="I331" s="61">
        <f t="shared" si="31"/>
        <v>150</v>
      </c>
      <c r="J331" s="95">
        <v>8</v>
      </c>
      <c r="K331" s="61">
        <f t="shared" si="32"/>
        <v>1200</v>
      </c>
      <c r="L331" s="56"/>
      <c r="M331" s="56"/>
      <c r="N331" s="56"/>
    </row>
    <row r="332" spans="1:14" s="33" customFormat="1" ht="24" customHeight="1" x14ac:dyDescent="0.25">
      <c r="A332" s="70">
        <v>90</v>
      </c>
      <c r="B332" s="49" t="s">
        <v>11</v>
      </c>
      <c r="C332" s="152"/>
      <c r="D332" s="52" t="s">
        <v>296</v>
      </c>
      <c r="E332" s="52" t="s">
        <v>297</v>
      </c>
      <c r="F332" s="52" t="s">
        <v>298</v>
      </c>
      <c r="G332" s="61">
        <v>45420</v>
      </c>
      <c r="H332" s="61"/>
      <c r="I332" s="61">
        <f t="shared" si="31"/>
        <v>45420</v>
      </c>
      <c r="J332" s="95">
        <v>4</v>
      </c>
      <c r="K332" s="61">
        <f t="shared" si="32"/>
        <v>181680</v>
      </c>
      <c r="L332" s="56"/>
      <c r="M332" s="56"/>
      <c r="N332" s="56"/>
    </row>
    <row r="333" spans="1:14" s="33" customFormat="1" ht="24" customHeight="1" x14ac:dyDescent="0.25">
      <c r="A333" s="70">
        <v>91</v>
      </c>
      <c r="B333" s="49" t="s">
        <v>11</v>
      </c>
      <c r="C333" s="152"/>
      <c r="D333" s="52" t="s">
        <v>925</v>
      </c>
      <c r="E333" s="52" t="s">
        <v>940</v>
      </c>
      <c r="F333" s="52" t="s">
        <v>926</v>
      </c>
      <c r="G333" s="61">
        <v>120</v>
      </c>
      <c r="H333" s="61"/>
      <c r="I333" s="61">
        <f t="shared" si="31"/>
        <v>120</v>
      </c>
      <c r="J333" s="95">
        <v>6</v>
      </c>
      <c r="K333" s="61">
        <f t="shared" si="32"/>
        <v>720</v>
      </c>
      <c r="L333" s="56"/>
      <c r="M333" s="56"/>
      <c r="N333" s="56"/>
    </row>
    <row r="334" spans="1:14" s="33" customFormat="1" ht="24" customHeight="1" x14ac:dyDescent="0.25">
      <c r="A334" s="70">
        <v>92</v>
      </c>
      <c r="B334" s="49" t="s">
        <v>11</v>
      </c>
      <c r="C334" s="152"/>
      <c r="D334" s="52" t="s">
        <v>299</v>
      </c>
      <c r="E334" s="52" t="s">
        <v>300</v>
      </c>
      <c r="F334" s="52" t="s">
        <v>215</v>
      </c>
      <c r="G334" s="61"/>
      <c r="H334" s="61">
        <v>170000</v>
      </c>
      <c r="I334" s="61">
        <f t="shared" si="31"/>
        <v>170000</v>
      </c>
      <c r="J334" s="95">
        <v>1</v>
      </c>
      <c r="K334" s="61">
        <f t="shared" si="32"/>
        <v>170000</v>
      </c>
      <c r="L334" s="56"/>
      <c r="M334" s="56"/>
      <c r="N334" s="56"/>
    </row>
    <row r="335" spans="1:14" s="33" customFormat="1" ht="24" customHeight="1" x14ac:dyDescent="0.25">
      <c r="A335" s="70">
        <v>93</v>
      </c>
      <c r="B335" s="49" t="s">
        <v>11</v>
      </c>
      <c r="C335" s="152"/>
      <c r="D335" s="52" t="s">
        <v>301</v>
      </c>
      <c r="E335" s="52" t="s">
        <v>302</v>
      </c>
      <c r="F335" s="52" t="s">
        <v>303</v>
      </c>
      <c r="G335" s="61"/>
      <c r="H335" s="61">
        <v>20000</v>
      </c>
      <c r="I335" s="61">
        <f t="shared" si="31"/>
        <v>20000</v>
      </c>
      <c r="J335" s="95">
        <v>1</v>
      </c>
      <c r="K335" s="61">
        <f t="shared" si="32"/>
        <v>20000</v>
      </c>
      <c r="L335" s="56"/>
      <c r="M335" s="56"/>
      <c r="N335" s="56"/>
    </row>
    <row r="336" spans="1:14" s="33" customFormat="1" ht="24" customHeight="1" x14ac:dyDescent="0.25">
      <c r="A336" s="70">
        <v>94</v>
      </c>
      <c r="B336" s="49" t="s">
        <v>11</v>
      </c>
      <c r="C336" s="152"/>
      <c r="D336" s="52" t="s">
        <v>304</v>
      </c>
      <c r="E336" s="52" t="s">
        <v>958</v>
      </c>
      <c r="F336" s="61" t="s">
        <v>261</v>
      </c>
      <c r="G336" s="61">
        <v>50</v>
      </c>
      <c r="H336" s="61"/>
      <c r="I336" s="61">
        <f t="shared" si="31"/>
        <v>50</v>
      </c>
      <c r="J336" s="95">
        <v>3</v>
      </c>
      <c r="K336" s="61">
        <f t="shared" si="32"/>
        <v>150</v>
      </c>
      <c r="L336" s="56"/>
      <c r="M336" s="56"/>
      <c r="N336" s="56"/>
    </row>
    <row r="337" spans="1:14" s="33" customFormat="1" ht="24" customHeight="1" x14ac:dyDescent="0.25">
      <c r="A337" s="70">
        <v>95</v>
      </c>
      <c r="B337" s="49" t="s">
        <v>11</v>
      </c>
      <c r="C337" s="152"/>
      <c r="D337" s="52" t="s">
        <v>305</v>
      </c>
      <c r="E337" s="52" t="s">
        <v>941</v>
      </c>
      <c r="F337" s="61" t="s">
        <v>261</v>
      </c>
      <c r="G337" s="61">
        <v>40</v>
      </c>
      <c r="H337" s="61"/>
      <c r="I337" s="61">
        <f t="shared" si="31"/>
        <v>40</v>
      </c>
      <c r="J337" s="95">
        <v>3</v>
      </c>
      <c r="K337" s="61">
        <f t="shared" si="32"/>
        <v>120</v>
      </c>
      <c r="L337" s="56"/>
      <c r="M337" s="56"/>
      <c r="N337" s="56"/>
    </row>
    <row r="338" spans="1:14" s="33" customFormat="1" ht="24" customHeight="1" x14ac:dyDescent="0.25">
      <c r="A338" s="70">
        <v>96</v>
      </c>
      <c r="B338" s="49" t="s">
        <v>11</v>
      </c>
      <c r="C338" s="152"/>
      <c r="D338" s="52" t="s">
        <v>306</v>
      </c>
      <c r="E338" s="52" t="s">
        <v>945</v>
      </c>
      <c r="F338" s="52" t="s">
        <v>261</v>
      </c>
      <c r="G338" s="61">
        <v>60</v>
      </c>
      <c r="H338" s="61"/>
      <c r="I338" s="61">
        <f t="shared" si="31"/>
        <v>60</v>
      </c>
      <c r="J338" s="95">
        <v>6</v>
      </c>
      <c r="K338" s="61">
        <f t="shared" si="32"/>
        <v>360</v>
      </c>
      <c r="L338" s="56"/>
      <c r="M338" s="56"/>
      <c r="N338" s="56"/>
    </row>
    <row r="339" spans="1:14" s="33" customFormat="1" ht="24" customHeight="1" x14ac:dyDescent="0.25">
      <c r="A339" s="70">
        <v>97</v>
      </c>
      <c r="B339" s="49" t="s">
        <v>11</v>
      </c>
      <c r="C339" s="152"/>
      <c r="D339" s="52" t="s">
        <v>307</v>
      </c>
      <c r="E339" s="52" t="s">
        <v>943</v>
      </c>
      <c r="F339" s="52" t="s">
        <v>261</v>
      </c>
      <c r="G339" s="61">
        <v>50</v>
      </c>
      <c r="H339" s="61"/>
      <c r="I339" s="61">
        <f t="shared" si="31"/>
        <v>50</v>
      </c>
      <c r="J339" s="95">
        <v>6</v>
      </c>
      <c r="K339" s="61">
        <f t="shared" si="32"/>
        <v>300</v>
      </c>
      <c r="L339" s="56"/>
      <c r="M339" s="56"/>
      <c r="N339" s="56"/>
    </row>
    <row r="340" spans="1:14" s="33" customFormat="1" ht="24" customHeight="1" x14ac:dyDescent="0.25">
      <c r="A340" s="70">
        <v>98</v>
      </c>
      <c r="B340" s="49" t="s">
        <v>11</v>
      </c>
      <c r="C340" s="152"/>
      <c r="D340" s="52" t="s">
        <v>927</v>
      </c>
      <c r="E340" s="52" t="s">
        <v>944</v>
      </c>
      <c r="F340" s="52" t="s">
        <v>926</v>
      </c>
      <c r="G340" s="61">
        <v>120</v>
      </c>
      <c r="H340" s="61"/>
      <c r="I340" s="61">
        <f t="shared" si="31"/>
        <v>120</v>
      </c>
      <c r="J340" s="95">
        <v>12</v>
      </c>
      <c r="K340" s="61">
        <f t="shared" si="32"/>
        <v>1440</v>
      </c>
      <c r="L340" s="56"/>
      <c r="M340" s="56"/>
      <c r="N340" s="56"/>
    </row>
    <row r="341" spans="1:14" s="33" customFormat="1" ht="24" customHeight="1" x14ac:dyDescent="0.25">
      <c r="A341" s="70">
        <v>99</v>
      </c>
      <c r="B341" s="49" t="s">
        <v>11</v>
      </c>
      <c r="C341" s="152"/>
      <c r="D341" s="52" t="s">
        <v>308</v>
      </c>
      <c r="E341" s="52" t="s">
        <v>957</v>
      </c>
      <c r="F341" s="52" t="s">
        <v>261</v>
      </c>
      <c r="G341" s="61">
        <v>50</v>
      </c>
      <c r="H341" s="61"/>
      <c r="I341" s="61">
        <f t="shared" si="31"/>
        <v>50</v>
      </c>
      <c r="J341" s="95">
        <v>1</v>
      </c>
      <c r="K341" s="61">
        <f t="shared" si="32"/>
        <v>50</v>
      </c>
      <c r="L341" s="56"/>
      <c r="M341" s="56"/>
      <c r="N341" s="56"/>
    </row>
    <row r="342" spans="1:14" s="33" customFormat="1" ht="24" customHeight="1" x14ac:dyDescent="0.25">
      <c r="A342" s="70">
        <v>100</v>
      </c>
      <c r="B342" s="49" t="s">
        <v>11</v>
      </c>
      <c r="C342" s="152"/>
      <c r="D342" s="52" t="s">
        <v>309</v>
      </c>
      <c r="E342" s="52" t="s">
        <v>958</v>
      </c>
      <c r="F342" s="52" t="s">
        <v>261</v>
      </c>
      <c r="G342" s="61">
        <v>50</v>
      </c>
      <c r="H342" s="61"/>
      <c r="I342" s="61">
        <f t="shared" si="31"/>
        <v>50</v>
      </c>
      <c r="J342" s="95">
        <v>2</v>
      </c>
      <c r="K342" s="61">
        <f t="shared" si="32"/>
        <v>100</v>
      </c>
      <c r="L342" s="56"/>
      <c r="M342" s="56"/>
      <c r="N342" s="56"/>
    </row>
    <row r="343" spans="1:14" s="33" customFormat="1" ht="24" customHeight="1" x14ac:dyDescent="0.25">
      <c r="A343" s="70">
        <v>101</v>
      </c>
      <c r="B343" s="49" t="s">
        <v>11</v>
      </c>
      <c r="C343" s="152"/>
      <c r="D343" s="52" t="s">
        <v>310</v>
      </c>
      <c r="E343" s="52" t="s">
        <v>958</v>
      </c>
      <c r="F343" s="52" t="s">
        <v>261</v>
      </c>
      <c r="G343" s="61">
        <v>50</v>
      </c>
      <c r="H343" s="61"/>
      <c r="I343" s="61">
        <f t="shared" si="31"/>
        <v>50</v>
      </c>
      <c r="J343" s="95">
        <v>4</v>
      </c>
      <c r="K343" s="61">
        <f t="shared" si="32"/>
        <v>200</v>
      </c>
      <c r="L343" s="56"/>
      <c r="M343" s="56"/>
      <c r="N343" s="56"/>
    </row>
    <row r="344" spans="1:14" s="33" customFormat="1" ht="24" customHeight="1" x14ac:dyDescent="0.25">
      <c r="A344" s="70">
        <v>102</v>
      </c>
      <c r="B344" s="49" t="s">
        <v>11</v>
      </c>
      <c r="C344" s="152"/>
      <c r="D344" s="52" t="s">
        <v>311</v>
      </c>
      <c r="E344" s="52" t="s">
        <v>959</v>
      </c>
      <c r="F344" s="52" t="s">
        <v>261</v>
      </c>
      <c r="G344" s="61">
        <v>50</v>
      </c>
      <c r="H344" s="61"/>
      <c r="I344" s="61">
        <f t="shared" si="31"/>
        <v>50</v>
      </c>
      <c r="J344" s="95">
        <v>4</v>
      </c>
      <c r="K344" s="61">
        <f t="shared" si="32"/>
        <v>200</v>
      </c>
      <c r="L344" s="56"/>
      <c r="M344" s="56"/>
      <c r="N344" s="56"/>
    </row>
    <row r="345" spans="1:14" s="33" customFormat="1" ht="24" customHeight="1" x14ac:dyDescent="0.25">
      <c r="A345" s="70">
        <v>103</v>
      </c>
      <c r="B345" s="49" t="s">
        <v>11</v>
      </c>
      <c r="C345" s="152"/>
      <c r="D345" s="52" t="s">
        <v>312</v>
      </c>
      <c r="E345" s="52" t="s">
        <v>960</v>
      </c>
      <c r="F345" s="52" t="s">
        <v>261</v>
      </c>
      <c r="G345" s="61">
        <v>60</v>
      </c>
      <c r="H345" s="61"/>
      <c r="I345" s="61">
        <f t="shared" si="31"/>
        <v>60</v>
      </c>
      <c r="J345" s="95">
        <v>3</v>
      </c>
      <c r="K345" s="61">
        <f t="shared" si="32"/>
        <v>180</v>
      </c>
      <c r="L345" s="56"/>
      <c r="M345" s="56"/>
      <c r="N345" s="56"/>
    </row>
    <row r="346" spans="1:14" s="33" customFormat="1" ht="24" customHeight="1" x14ac:dyDescent="0.25">
      <c r="A346" s="70">
        <v>104</v>
      </c>
      <c r="B346" s="49" t="s">
        <v>11</v>
      </c>
      <c r="C346" s="152"/>
      <c r="D346" s="52" t="s">
        <v>313</v>
      </c>
      <c r="E346" s="52" t="s">
        <v>961</v>
      </c>
      <c r="F346" s="52" t="s">
        <v>261</v>
      </c>
      <c r="G346" s="61">
        <v>60</v>
      </c>
      <c r="H346" s="61"/>
      <c r="I346" s="61">
        <f t="shared" si="31"/>
        <v>60</v>
      </c>
      <c r="J346" s="95">
        <v>3</v>
      </c>
      <c r="K346" s="61">
        <f t="shared" si="32"/>
        <v>180</v>
      </c>
      <c r="L346" s="56"/>
      <c r="M346" s="56"/>
      <c r="N346" s="56"/>
    </row>
    <row r="347" spans="1:14" s="33" customFormat="1" ht="24" customHeight="1" x14ac:dyDescent="0.25">
      <c r="A347" s="70">
        <v>105</v>
      </c>
      <c r="B347" s="49" t="s">
        <v>11</v>
      </c>
      <c r="C347" s="152"/>
      <c r="D347" s="52" t="s">
        <v>314</v>
      </c>
      <c r="E347" s="52" t="s">
        <v>941</v>
      </c>
      <c r="F347" s="52" t="s">
        <v>261</v>
      </c>
      <c r="G347" s="61">
        <v>40</v>
      </c>
      <c r="H347" s="61"/>
      <c r="I347" s="61">
        <f t="shared" si="31"/>
        <v>40</v>
      </c>
      <c r="J347" s="95">
        <v>10</v>
      </c>
      <c r="K347" s="61">
        <f t="shared" si="32"/>
        <v>400</v>
      </c>
      <c r="L347" s="56"/>
      <c r="M347" s="56"/>
      <c r="N347" s="56"/>
    </row>
    <row r="348" spans="1:14" s="33" customFormat="1" ht="24" customHeight="1" x14ac:dyDescent="0.25">
      <c r="A348" s="70">
        <v>106</v>
      </c>
      <c r="B348" s="49" t="s">
        <v>11</v>
      </c>
      <c r="C348" s="152"/>
      <c r="D348" s="52" t="s">
        <v>928</v>
      </c>
      <c r="E348" s="52" t="s">
        <v>943</v>
      </c>
      <c r="F348" s="52" t="s">
        <v>261</v>
      </c>
      <c r="G348" s="61">
        <v>50</v>
      </c>
      <c r="H348" s="61"/>
      <c r="I348" s="61">
        <f t="shared" si="31"/>
        <v>50</v>
      </c>
      <c r="J348" s="95">
        <v>6</v>
      </c>
      <c r="K348" s="61">
        <f t="shared" si="32"/>
        <v>300</v>
      </c>
      <c r="L348" s="56"/>
      <c r="M348" s="56"/>
      <c r="N348" s="56"/>
    </row>
    <row r="349" spans="1:14" s="33" customFormat="1" ht="24" customHeight="1" x14ac:dyDescent="0.25">
      <c r="A349" s="70">
        <v>107</v>
      </c>
      <c r="B349" s="49" t="s">
        <v>11</v>
      </c>
      <c r="C349" s="152"/>
      <c r="D349" s="52" t="s">
        <v>315</v>
      </c>
      <c r="E349" s="52" t="s">
        <v>316</v>
      </c>
      <c r="F349" s="52" t="s">
        <v>303</v>
      </c>
      <c r="G349" s="61"/>
      <c r="H349" s="61">
        <v>15000</v>
      </c>
      <c r="I349" s="61">
        <f t="shared" si="31"/>
        <v>15000</v>
      </c>
      <c r="J349" s="95">
        <v>1</v>
      </c>
      <c r="K349" s="61">
        <f t="shared" si="32"/>
        <v>15000</v>
      </c>
      <c r="L349" s="56"/>
      <c r="M349" s="56"/>
      <c r="N349" s="56"/>
    </row>
    <row r="350" spans="1:14" s="33" customFormat="1" ht="24" customHeight="1" x14ac:dyDescent="0.25">
      <c r="A350" s="70">
        <v>108</v>
      </c>
      <c r="B350" s="49" t="s">
        <v>11</v>
      </c>
      <c r="C350" s="152"/>
      <c r="D350" s="52" t="s">
        <v>317</v>
      </c>
      <c r="E350" s="52" t="s">
        <v>318</v>
      </c>
      <c r="F350" s="52" t="s">
        <v>303</v>
      </c>
      <c r="G350" s="61"/>
      <c r="H350" s="61">
        <v>10500</v>
      </c>
      <c r="I350" s="61">
        <f t="shared" si="31"/>
        <v>10500</v>
      </c>
      <c r="J350" s="95">
        <v>1</v>
      </c>
      <c r="K350" s="61">
        <f t="shared" si="32"/>
        <v>10500</v>
      </c>
      <c r="L350" s="56"/>
      <c r="M350" s="56"/>
      <c r="N350" s="56"/>
    </row>
    <row r="351" spans="1:14" s="33" customFormat="1" ht="24" customHeight="1" x14ac:dyDescent="0.25">
      <c r="A351" s="70">
        <v>109</v>
      </c>
      <c r="B351" s="49" t="s">
        <v>11</v>
      </c>
      <c r="C351" s="152"/>
      <c r="D351" s="52" t="s">
        <v>319</v>
      </c>
      <c r="E351" s="52" t="s">
        <v>959</v>
      </c>
      <c r="F351" s="52" t="s">
        <v>261</v>
      </c>
      <c r="G351" s="61">
        <v>50</v>
      </c>
      <c r="H351" s="61"/>
      <c r="I351" s="61">
        <f t="shared" si="31"/>
        <v>50</v>
      </c>
      <c r="J351" s="95">
        <v>2</v>
      </c>
      <c r="K351" s="61">
        <f t="shared" si="32"/>
        <v>100</v>
      </c>
      <c r="L351" s="56"/>
      <c r="M351" s="56"/>
      <c r="N351" s="56"/>
    </row>
    <row r="352" spans="1:14" s="33" customFormat="1" ht="24" customHeight="1" x14ac:dyDescent="0.25">
      <c r="A352" s="70">
        <v>110</v>
      </c>
      <c r="B352" s="49" t="s">
        <v>11</v>
      </c>
      <c r="C352" s="153"/>
      <c r="D352" s="52" t="s">
        <v>320</v>
      </c>
      <c r="E352" s="52" t="s">
        <v>941</v>
      </c>
      <c r="F352" s="52" t="s">
        <v>261</v>
      </c>
      <c r="G352" s="61">
        <v>40</v>
      </c>
      <c r="H352" s="61"/>
      <c r="I352" s="61">
        <f t="shared" si="31"/>
        <v>40</v>
      </c>
      <c r="J352" s="95">
        <v>1</v>
      </c>
      <c r="K352" s="61">
        <f t="shared" si="32"/>
        <v>40</v>
      </c>
      <c r="L352" s="56"/>
      <c r="M352" s="56"/>
      <c r="N352" s="56"/>
    </row>
    <row r="353" spans="1:14" s="33" customFormat="1" ht="24" customHeight="1" x14ac:dyDescent="0.25">
      <c r="A353" s="70">
        <v>111</v>
      </c>
      <c r="B353" s="49" t="s">
        <v>11</v>
      </c>
      <c r="C353" s="151" t="s">
        <v>321</v>
      </c>
      <c r="D353" s="52" t="s">
        <v>322</v>
      </c>
      <c r="E353" s="52" t="s">
        <v>323</v>
      </c>
      <c r="F353" s="52" t="s">
        <v>324</v>
      </c>
      <c r="G353" s="61">
        <v>59000</v>
      </c>
      <c r="H353" s="61"/>
      <c r="I353" s="61">
        <f t="shared" si="31"/>
        <v>59000</v>
      </c>
      <c r="J353" s="95">
        <v>2</v>
      </c>
      <c r="K353" s="61">
        <f t="shared" si="32"/>
        <v>118000</v>
      </c>
      <c r="L353" s="56"/>
      <c r="M353" s="56"/>
      <c r="N353" s="56"/>
    </row>
    <row r="354" spans="1:14" s="33" customFormat="1" ht="24" customHeight="1" x14ac:dyDescent="0.25">
      <c r="A354" s="70">
        <v>112</v>
      </c>
      <c r="B354" s="49" t="s">
        <v>11</v>
      </c>
      <c r="C354" s="152"/>
      <c r="D354" s="52" t="s">
        <v>325</v>
      </c>
      <c r="E354" s="52" t="s">
        <v>326</v>
      </c>
      <c r="F354" s="52" t="s">
        <v>324</v>
      </c>
      <c r="G354" s="61">
        <v>700</v>
      </c>
      <c r="H354" s="61"/>
      <c r="I354" s="61">
        <f t="shared" si="31"/>
        <v>700</v>
      </c>
      <c r="J354" s="95">
        <v>1</v>
      </c>
      <c r="K354" s="61">
        <f t="shared" si="32"/>
        <v>700</v>
      </c>
      <c r="L354" s="56"/>
      <c r="M354" s="56"/>
      <c r="N354" s="56"/>
    </row>
    <row r="355" spans="1:14" s="33" customFormat="1" ht="24" customHeight="1" x14ac:dyDescent="0.25">
      <c r="A355" s="70">
        <v>113</v>
      </c>
      <c r="B355" s="49" t="s">
        <v>11</v>
      </c>
      <c r="C355" s="152"/>
      <c r="D355" s="49" t="s">
        <v>470</v>
      </c>
      <c r="E355" s="49" t="s">
        <v>471</v>
      </c>
      <c r="F355" s="52" t="s">
        <v>324</v>
      </c>
      <c r="G355" s="61">
        <v>2400</v>
      </c>
      <c r="H355" s="61"/>
      <c r="I355" s="61">
        <f t="shared" si="31"/>
        <v>2400</v>
      </c>
      <c r="J355" s="95">
        <v>2</v>
      </c>
      <c r="K355" s="61">
        <f t="shared" si="32"/>
        <v>4800</v>
      </c>
      <c r="L355" s="56"/>
      <c r="M355" s="56"/>
      <c r="N355" s="56"/>
    </row>
    <row r="356" spans="1:14" s="33" customFormat="1" ht="24" customHeight="1" x14ac:dyDescent="0.25">
      <c r="A356" s="70">
        <v>114</v>
      </c>
      <c r="B356" s="49" t="s">
        <v>11</v>
      </c>
      <c r="C356" s="152"/>
      <c r="D356" s="52" t="s">
        <v>327</v>
      </c>
      <c r="E356" s="52" t="s">
        <v>328</v>
      </c>
      <c r="F356" s="52" t="s">
        <v>274</v>
      </c>
      <c r="G356" s="61">
        <v>300</v>
      </c>
      <c r="H356" s="61"/>
      <c r="I356" s="61">
        <f t="shared" si="31"/>
        <v>300</v>
      </c>
      <c r="J356" s="95">
        <v>30</v>
      </c>
      <c r="K356" s="61">
        <f t="shared" si="32"/>
        <v>9000</v>
      </c>
      <c r="L356" s="56"/>
      <c r="M356" s="56"/>
      <c r="N356" s="56"/>
    </row>
    <row r="357" spans="1:14" s="33" customFormat="1" ht="24" customHeight="1" x14ac:dyDescent="0.25">
      <c r="A357" s="70">
        <v>115</v>
      </c>
      <c r="B357" s="49" t="s">
        <v>11</v>
      </c>
      <c r="C357" s="152"/>
      <c r="D357" s="52" t="s">
        <v>329</v>
      </c>
      <c r="E357" s="52" t="s">
        <v>330</v>
      </c>
      <c r="F357" s="52" t="s">
        <v>331</v>
      </c>
      <c r="G357" s="61">
        <v>160000</v>
      </c>
      <c r="H357" s="61"/>
      <c r="I357" s="61">
        <f t="shared" si="31"/>
        <v>160000</v>
      </c>
      <c r="J357" s="95">
        <v>2</v>
      </c>
      <c r="K357" s="61">
        <f t="shared" si="32"/>
        <v>320000</v>
      </c>
      <c r="L357" s="56"/>
      <c r="M357" s="56"/>
      <c r="N357" s="56"/>
    </row>
    <row r="358" spans="1:14" s="33" customFormat="1" ht="24" customHeight="1" x14ac:dyDescent="0.25">
      <c r="A358" s="70">
        <v>116</v>
      </c>
      <c r="B358" s="49" t="s">
        <v>11</v>
      </c>
      <c r="C358" s="152"/>
      <c r="D358" s="52" t="s">
        <v>848</v>
      </c>
      <c r="E358" s="52" t="s">
        <v>472</v>
      </c>
      <c r="F358" s="52" t="s">
        <v>473</v>
      </c>
      <c r="G358" s="61">
        <v>2500</v>
      </c>
      <c r="H358" s="61"/>
      <c r="I358" s="61">
        <f t="shared" si="31"/>
        <v>2500</v>
      </c>
      <c r="J358" s="95">
        <v>2</v>
      </c>
      <c r="K358" s="61">
        <f t="shared" si="32"/>
        <v>5000</v>
      </c>
      <c r="L358" s="56"/>
      <c r="M358" s="56"/>
      <c r="N358" s="56"/>
    </row>
    <row r="359" spans="1:14" s="33" customFormat="1" ht="24" customHeight="1" x14ac:dyDescent="0.25">
      <c r="A359" s="70">
        <v>117</v>
      </c>
      <c r="B359" s="49" t="s">
        <v>11</v>
      </c>
      <c r="C359" s="152"/>
      <c r="D359" s="52" t="s">
        <v>332</v>
      </c>
      <c r="E359" s="52" t="s">
        <v>929</v>
      </c>
      <c r="F359" s="52" t="s">
        <v>333</v>
      </c>
      <c r="G359" s="61">
        <v>3500</v>
      </c>
      <c r="H359" s="61"/>
      <c r="I359" s="61">
        <f t="shared" si="31"/>
        <v>3500</v>
      </c>
      <c r="J359" s="95">
        <v>1</v>
      </c>
      <c r="K359" s="61">
        <f t="shared" si="32"/>
        <v>3500</v>
      </c>
      <c r="L359" s="56"/>
      <c r="M359" s="56"/>
      <c r="N359" s="56"/>
    </row>
    <row r="360" spans="1:14" s="33" customFormat="1" ht="24" customHeight="1" x14ac:dyDescent="0.25">
      <c r="A360" s="70">
        <v>118</v>
      </c>
      <c r="B360" s="49" t="s">
        <v>11</v>
      </c>
      <c r="C360" s="152"/>
      <c r="D360" s="52" t="s">
        <v>332</v>
      </c>
      <c r="E360" s="52" t="s">
        <v>930</v>
      </c>
      <c r="F360" s="52" t="s">
        <v>333</v>
      </c>
      <c r="G360" s="61">
        <v>3500</v>
      </c>
      <c r="H360" s="61"/>
      <c r="I360" s="61">
        <f t="shared" si="31"/>
        <v>3500</v>
      </c>
      <c r="J360" s="95">
        <v>1</v>
      </c>
      <c r="K360" s="61">
        <f t="shared" si="32"/>
        <v>3500</v>
      </c>
      <c r="L360" s="56"/>
      <c r="M360" s="56"/>
      <c r="N360" s="56"/>
    </row>
    <row r="361" spans="1:14" s="33" customFormat="1" ht="24" customHeight="1" x14ac:dyDescent="0.25">
      <c r="A361" s="70">
        <v>119</v>
      </c>
      <c r="B361" s="49" t="s">
        <v>11</v>
      </c>
      <c r="C361" s="152"/>
      <c r="D361" s="52" t="s">
        <v>334</v>
      </c>
      <c r="E361" s="52" t="s">
        <v>931</v>
      </c>
      <c r="F361" s="52" t="s">
        <v>333</v>
      </c>
      <c r="G361" s="61">
        <v>7000</v>
      </c>
      <c r="H361" s="61"/>
      <c r="I361" s="61">
        <f t="shared" si="31"/>
        <v>7000</v>
      </c>
      <c r="J361" s="95">
        <v>1</v>
      </c>
      <c r="K361" s="61">
        <f t="shared" si="32"/>
        <v>7000</v>
      </c>
      <c r="L361" s="56"/>
      <c r="M361" s="56"/>
      <c r="N361" s="56"/>
    </row>
    <row r="362" spans="1:14" s="33" customFormat="1" ht="24" customHeight="1" x14ac:dyDescent="0.25">
      <c r="A362" s="70">
        <v>120</v>
      </c>
      <c r="B362" s="49" t="s">
        <v>11</v>
      </c>
      <c r="C362" s="152"/>
      <c r="D362" s="52" t="s">
        <v>335</v>
      </c>
      <c r="E362" s="52" t="s">
        <v>474</v>
      </c>
      <c r="F362" s="52" t="s">
        <v>333</v>
      </c>
      <c r="G362" s="61">
        <v>3000</v>
      </c>
      <c r="H362" s="61"/>
      <c r="I362" s="61">
        <f t="shared" si="31"/>
        <v>3000</v>
      </c>
      <c r="J362" s="95">
        <v>1</v>
      </c>
      <c r="K362" s="61">
        <f t="shared" si="32"/>
        <v>3000</v>
      </c>
      <c r="L362" s="56"/>
      <c r="M362" s="56"/>
      <c r="N362" s="56"/>
    </row>
    <row r="363" spans="1:14" s="33" customFormat="1" ht="24" customHeight="1" x14ac:dyDescent="0.25">
      <c r="A363" s="70">
        <v>121</v>
      </c>
      <c r="B363" s="49" t="s">
        <v>11</v>
      </c>
      <c r="C363" s="152"/>
      <c r="D363" s="52" t="s">
        <v>475</v>
      </c>
      <c r="E363" s="52" t="s">
        <v>476</v>
      </c>
      <c r="F363" s="52" t="s">
        <v>333</v>
      </c>
      <c r="G363" s="61">
        <v>3500</v>
      </c>
      <c r="H363" s="61"/>
      <c r="I363" s="61">
        <f t="shared" si="31"/>
        <v>3500</v>
      </c>
      <c r="J363" s="95">
        <v>1</v>
      </c>
      <c r="K363" s="61">
        <f t="shared" si="32"/>
        <v>3500</v>
      </c>
      <c r="L363" s="56"/>
      <c r="M363" s="56"/>
      <c r="N363" s="56"/>
    </row>
    <row r="364" spans="1:14" s="33" customFormat="1" ht="24" customHeight="1" x14ac:dyDescent="0.25">
      <c r="A364" s="70">
        <v>122</v>
      </c>
      <c r="B364" s="49" t="s">
        <v>11</v>
      </c>
      <c r="C364" s="152"/>
      <c r="D364" s="52" t="s">
        <v>477</v>
      </c>
      <c r="E364" s="52" t="s">
        <v>478</v>
      </c>
      <c r="F364" s="52" t="s">
        <v>479</v>
      </c>
      <c r="G364" s="61">
        <v>2500</v>
      </c>
      <c r="H364" s="61"/>
      <c r="I364" s="61">
        <f>SUM(G364:H364)</f>
        <v>2500</v>
      </c>
      <c r="J364" s="95">
        <v>2</v>
      </c>
      <c r="K364" s="61">
        <f>I364*J364</f>
        <v>5000</v>
      </c>
      <c r="L364" s="56"/>
      <c r="M364" s="56"/>
      <c r="N364" s="56"/>
    </row>
    <row r="365" spans="1:14" s="33" customFormat="1" ht="24" customHeight="1" x14ac:dyDescent="0.25">
      <c r="A365" s="70">
        <v>123</v>
      </c>
      <c r="B365" s="49" t="s">
        <v>11</v>
      </c>
      <c r="C365" s="152"/>
      <c r="D365" s="52" t="s">
        <v>480</v>
      </c>
      <c r="E365" s="52" t="s">
        <v>481</v>
      </c>
      <c r="F365" s="52" t="s">
        <v>333</v>
      </c>
      <c r="G365" s="61">
        <v>3000</v>
      </c>
      <c r="H365" s="61"/>
      <c r="I365" s="61">
        <f t="shared" si="31"/>
        <v>3000</v>
      </c>
      <c r="J365" s="95">
        <v>1</v>
      </c>
      <c r="K365" s="61">
        <f t="shared" si="32"/>
        <v>3000</v>
      </c>
      <c r="L365" s="56"/>
      <c r="M365" s="56"/>
      <c r="N365" s="56"/>
    </row>
    <row r="366" spans="1:14" s="33" customFormat="1" ht="24" customHeight="1" x14ac:dyDescent="0.25">
      <c r="A366" s="70">
        <v>124</v>
      </c>
      <c r="B366" s="49" t="s">
        <v>11</v>
      </c>
      <c r="C366" s="152"/>
      <c r="D366" s="52" t="s">
        <v>932</v>
      </c>
      <c r="E366" s="52" t="s">
        <v>337</v>
      </c>
      <c r="F366" s="52" t="s">
        <v>336</v>
      </c>
      <c r="G366" s="61">
        <v>27918</v>
      </c>
      <c r="H366" s="61"/>
      <c r="I366" s="61">
        <f t="shared" si="31"/>
        <v>27918</v>
      </c>
      <c r="J366" s="95">
        <v>2</v>
      </c>
      <c r="K366" s="61">
        <f t="shared" si="32"/>
        <v>55836</v>
      </c>
      <c r="L366" s="56"/>
      <c r="M366" s="56"/>
      <c r="N366" s="56"/>
    </row>
    <row r="367" spans="1:14" s="33" customFormat="1" ht="24" customHeight="1" x14ac:dyDescent="0.25">
      <c r="A367" s="70">
        <v>125</v>
      </c>
      <c r="B367" s="49" t="s">
        <v>11</v>
      </c>
      <c r="C367" s="152"/>
      <c r="D367" s="52" t="s">
        <v>482</v>
      </c>
      <c r="E367" s="52" t="s">
        <v>858</v>
      </c>
      <c r="F367" s="52" t="s">
        <v>261</v>
      </c>
      <c r="G367" s="61">
        <v>50</v>
      </c>
      <c r="H367" s="61"/>
      <c r="I367" s="61">
        <f>SUM(G367:H367)</f>
        <v>50</v>
      </c>
      <c r="J367" s="95">
        <v>4</v>
      </c>
      <c r="K367" s="61">
        <f>I367*J367</f>
        <v>200</v>
      </c>
      <c r="L367" s="56"/>
      <c r="M367" s="56"/>
      <c r="N367" s="56"/>
    </row>
    <row r="368" spans="1:14" s="33" customFormat="1" ht="24" customHeight="1" x14ac:dyDescent="0.25">
      <c r="A368" s="70">
        <v>126</v>
      </c>
      <c r="B368" s="49" t="s">
        <v>11</v>
      </c>
      <c r="C368" s="152"/>
      <c r="D368" s="52" t="s">
        <v>338</v>
      </c>
      <c r="E368" s="52" t="s">
        <v>962</v>
      </c>
      <c r="F368" s="52" t="s">
        <v>261</v>
      </c>
      <c r="G368" s="61">
        <v>20</v>
      </c>
      <c r="H368" s="61"/>
      <c r="I368" s="61">
        <f t="shared" si="31"/>
        <v>20</v>
      </c>
      <c r="J368" s="95">
        <v>8</v>
      </c>
      <c r="K368" s="61">
        <f t="shared" si="32"/>
        <v>160</v>
      </c>
      <c r="L368" s="56"/>
      <c r="M368" s="56"/>
      <c r="N368" s="56"/>
    </row>
    <row r="369" spans="1:14" s="33" customFormat="1" ht="24" customHeight="1" x14ac:dyDescent="0.25">
      <c r="A369" s="70">
        <v>127</v>
      </c>
      <c r="B369" s="49" t="s">
        <v>11</v>
      </c>
      <c r="C369" s="152"/>
      <c r="D369" s="52" t="s">
        <v>933</v>
      </c>
      <c r="E369" s="52" t="s">
        <v>963</v>
      </c>
      <c r="F369" s="52" t="s">
        <v>469</v>
      </c>
      <c r="G369" s="61">
        <v>60</v>
      </c>
      <c r="H369" s="61"/>
      <c r="I369" s="61">
        <f t="shared" si="31"/>
        <v>60</v>
      </c>
      <c r="J369" s="95">
        <v>4</v>
      </c>
      <c r="K369" s="61">
        <f t="shared" si="32"/>
        <v>240</v>
      </c>
      <c r="L369" s="56"/>
      <c r="M369" s="56"/>
      <c r="N369" s="56"/>
    </row>
    <row r="370" spans="1:14" s="33" customFormat="1" ht="24" customHeight="1" x14ac:dyDescent="0.25">
      <c r="A370" s="70">
        <v>128</v>
      </c>
      <c r="B370" s="49" t="s">
        <v>11</v>
      </c>
      <c r="C370" s="152"/>
      <c r="D370" s="52" t="s">
        <v>339</v>
      </c>
      <c r="E370" s="52" t="s">
        <v>964</v>
      </c>
      <c r="F370" s="52" t="s">
        <v>261</v>
      </c>
      <c r="G370" s="61">
        <v>30</v>
      </c>
      <c r="H370" s="61"/>
      <c r="I370" s="61">
        <f t="shared" si="31"/>
        <v>30</v>
      </c>
      <c r="J370" s="95">
        <v>4</v>
      </c>
      <c r="K370" s="61">
        <f t="shared" si="32"/>
        <v>120</v>
      </c>
      <c r="L370" s="56"/>
      <c r="M370" s="56"/>
      <c r="N370" s="56"/>
    </row>
    <row r="371" spans="1:14" s="33" customFormat="1" ht="24" customHeight="1" x14ac:dyDescent="0.25">
      <c r="A371" s="70">
        <v>129</v>
      </c>
      <c r="B371" s="49" t="s">
        <v>11</v>
      </c>
      <c r="C371" s="152"/>
      <c r="D371" s="52" t="s">
        <v>483</v>
      </c>
      <c r="E371" s="52" t="s">
        <v>886</v>
      </c>
      <c r="F371" s="52" t="s">
        <v>469</v>
      </c>
      <c r="G371" s="61">
        <v>40</v>
      </c>
      <c r="H371" s="61"/>
      <c r="I371" s="61">
        <f>SUM(G371:H371)</f>
        <v>40</v>
      </c>
      <c r="J371" s="95">
        <v>4</v>
      </c>
      <c r="K371" s="61">
        <f>I371*J371</f>
        <v>160</v>
      </c>
      <c r="L371" s="56"/>
      <c r="M371" s="56"/>
      <c r="N371" s="56"/>
    </row>
    <row r="372" spans="1:14" s="33" customFormat="1" ht="24" customHeight="1" x14ac:dyDescent="0.25">
      <c r="A372" s="70">
        <v>130</v>
      </c>
      <c r="B372" s="49" t="s">
        <v>11</v>
      </c>
      <c r="C372" s="152"/>
      <c r="D372" s="52" t="s">
        <v>340</v>
      </c>
      <c r="E372" s="52" t="s">
        <v>942</v>
      </c>
      <c r="F372" s="52" t="s">
        <v>261</v>
      </c>
      <c r="G372" s="61">
        <v>20</v>
      </c>
      <c r="H372" s="61"/>
      <c r="I372" s="61">
        <f t="shared" si="31"/>
        <v>20</v>
      </c>
      <c r="J372" s="95">
        <v>8</v>
      </c>
      <c r="K372" s="61">
        <f t="shared" si="32"/>
        <v>160</v>
      </c>
      <c r="L372" s="56"/>
      <c r="M372" s="56"/>
      <c r="N372" s="56"/>
    </row>
    <row r="373" spans="1:14" s="33" customFormat="1" ht="24" customHeight="1" x14ac:dyDescent="0.25">
      <c r="A373" s="70">
        <v>131</v>
      </c>
      <c r="B373" s="49" t="s">
        <v>11</v>
      </c>
      <c r="C373" s="152"/>
      <c r="D373" s="52" t="s">
        <v>934</v>
      </c>
      <c r="E373" s="52" t="s">
        <v>854</v>
      </c>
      <c r="F373" s="52" t="s">
        <v>469</v>
      </c>
      <c r="G373" s="61">
        <v>50</v>
      </c>
      <c r="H373" s="61"/>
      <c r="I373" s="61">
        <f t="shared" ref="I373:I385" si="33">SUM(G373:H373)</f>
        <v>50</v>
      </c>
      <c r="J373" s="95">
        <v>4</v>
      </c>
      <c r="K373" s="61">
        <f t="shared" si="32"/>
        <v>200</v>
      </c>
      <c r="L373" s="56"/>
      <c r="M373" s="56"/>
      <c r="N373" s="56"/>
    </row>
    <row r="374" spans="1:14" s="33" customFormat="1" ht="24" customHeight="1" x14ac:dyDescent="0.25">
      <c r="A374" s="70">
        <v>132</v>
      </c>
      <c r="B374" s="49" t="s">
        <v>11</v>
      </c>
      <c r="C374" s="152"/>
      <c r="D374" s="52" t="s">
        <v>341</v>
      </c>
      <c r="E374" s="52" t="s">
        <v>889</v>
      </c>
      <c r="F374" s="52" t="s">
        <v>261</v>
      </c>
      <c r="G374" s="61">
        <v>30</v>
      </c>
      <c r="H374" s="61"/>
      <c r="I374" s="61">
        <f t="shared" si="33"/>
        <v>30</v>
      </c>
      <c r="J374" s="95">
        <v>4</v>
      </c>
      <c r="K374" s="61">
        <f t="shared" si="32"/>
        <v>120</v>
      </c>
      <c r="L374" s="56"/>
      <c r="M374" s="56"/>
      <c r="N374" s="56"/>
    </row>
    <row r="375" spans="1:14" s="33" customFormat="1" ht="24" customHeight="1" x14ac:dyDescent="0.25">
      <c r="A375" s="70">
        <v>133</v>
      </c>
      <c r="B375" s="49" t="s">
        <v>11</v>
      </c>
      <c r="C375" s="153"/>
      <c r="D375" s="52" t="s">
        <v>935</v>
      </c>
      <c r="E375" s="52" t="s">
        <v>936</v>
      </c>
      <c r="F375" s="52" t="s">
        <v>389</v>
      </c>
      <c r="G375" s="61"/>
      <c r="H375" s="61">
        <v>900</v>
      </c>
      <c r="I375" s="61">
        <f t="shared" si="33"/>
        <v>900</v>
      </c>
      <c r="J375" s="95">
        <v>5</v>
      </c>
      <c r="K375" s="61">
        <f t="shared" si="32"/>
        <v>4500</v>
      </c>
      <c r="L375" s="56"/>
      <c r="M375" s="56"/>
      <c r="N375" s="56"/>
    </row>
    <row r="376" spans="1:14" s="33" customFormat="1" ht="24" customHeight="1" x14ac:dyDescent="0.25">
      <c r="A376" s="70">
        <v>134</v>
      </c>
      <c r="B376" s="49" t="s">
        <v>11</v>
      </c>
      <c r="C376" s="151" t="s">
        <v>937</v>
      </c>
      <c r="D376" s="52" t="s">
        <v>342</v>
      </c>
      <c r="E376" s="52" t="s">
        <v>342</v>
      </c>
      <c r="F376" s="52" t="s">
        <v>303</v>
      </c>
      <c r="G376" s="61"/>
      <c r="H376" s="61">
        <v>7400</v>
      </c>
      <c r="I376" s="61">
        <f t="shared" si="33"/>
        <v>7400</v>
      </c>
      <c r="J376" s="95">
        <v>1</v>
      </c>
      <c r="K376" s="61">
        <f t="shared" si="32"/>
        <v>7400</v>
      </c>
      <c r="L376" s="56"/>
      <c r="M376" s="56"/>
      <c r="N376" s="56"/>
    </row>
    <row r="377" spans="1:14" s="33" customFormat="1" ht="24" customHeight="1" x14ac:dyDescent="0.25">
      <c r="A377" s="70">
        <v>135</v>
      </c>
      <c r="B377" s="49" t="s">
        <v>11</v>
      </c>
      <c r="C377" s="152"/>
      <c r="D377" s="52" t="s">
        <v>343</v>
      </c>
      <c r="E377" s="52" t="s">
        <v>344</v>
      </c>
      <c r="F377" s="52" t="s">
        <v>345</v>
      </c>
      <c r="G377" s="61">
        <v>250000</v>
      </c>
      <c r="H377" s="61"/>
      <c r="I377" s="61">
        <f t="shared" si="33"/>
        <v>250000</v>
      </c>
      <c r="J377" s="95">
        <v>1</v>
      </c>
      <c r="K377" s="61">
        <f t="shared" si="32"/>
        <v>250000</v>
      </c>
      <c r="L377" s="56"/>
      <c r="M377" s="56"/>
      <c r="N377" s="56"/>
    </row>
    <row r="378" spans="1:14" s="33" customFormat="1" ht="24" customHeight="1" x14ac:dyDescent="0.25">
      <c r="A378" s="70">
        <v>136</v>
      </c>
      <c r="B378" s="49" t="s">
        <v>11</v>
      </c>
      <c r="C378" s="152"/>
      <c r="D378" s="52" t="s">
        <v>346</v>
      </c>
      <c r="E378" s="52" t="s">
        <v>346</v>
      </c>
      <c r="F378" s="52" t="s">
        <v>303</v>
      </c>
      <c r="G378" s="61"/>
      <c r="H378" s="61">
        <v>15000</v>
      </c>
      <c r="I378" s="61">
        <f t="shared" si="33"/>
        <v>15000</v>
      </c>
      <c r="J378" s="95">
        <v>1</v>
      </c>
      <c r="K378" s="61">
        <f t="shared" si="32"/>
        <v>15000</v>
      </c>
      <c r="L378" s="56"/>
      <c r="M378" s="56"/>
      <c r="N378" s="56"/>
    </row>
    <row r="379" spans="1:14" s="33" customFormat="1" ht="24" customHeight="1" x14ac:dyDescent="0.25">
      <c r="A379" s="70">
        <v>137</v>
      </c>
      <c r="B379" s="49" t="s">
        <v>11</v>
      </c>
      <c r="C379" s="152"/>
      <c r="D379" s="52" t="s">
        <v>347</v>
      </c>
      <c r="E379" s="52" t="s">
        <v>347</v>
      </c>
      <c r="F379" s="52" t="s">
        <v>303</v>
      </c>
      <c r="G379" s="61"/>
      <c r="H379" s="61">
        <v>40000</v>
      </c>
      <c r="I379" s="61">
        <f t="shared" si="33"/>
        <v>40000</v>
      </c>
      <c r="J379" s="95">
        <v>2</v>
      </c>
      <c r="K379" s="61">
        <f t="shared" si="32"/>
        <v>80000</v>
      </c>
      <c r="L379" s="56"/>
      <c r="M379" s="56"/>
      <c r="N379" s="56"/>
    </row>
    <row r="380" spans="1:14" s="33" customFormat="1" ht="24" customHeight="1" x14ac:dyDescent="0.25">
      <c r="A380" s="70">
        <v>138</v>
      </c>
      <c r="B380" s="49" t="s">
        <v>11</v>
      </c>
      <c r="C380" s="152"/>
      <c r="D380" s="52" t="s">
        <v>348</v>
      </c>
      <c r="E380" s="52" t="s">
        <v>958</v>
      </c>
      <c r="F380" s="52" t="s">
        <v>261</v>
      </c>
      <c r="G380" s="61">
        <v>50</v>
      </c>
      <c r="H380" s="61"/>
      <c r="I380" s="61">
        <f t="shared" si="33"/>
        <v>50</v>
      </c>
      <c r="J380" s="95">
        <v>3</v>
      </c>
      <c r="K380" s="61">
        <f t="shared" si="32"/>
        <v>150</v>
      </c>
      <c r="L380" s="56"/>
      <c r="M380" s="56"/>
      <c r="N380" s="56"/>
    </row>
    <row r="381" spans="1:14" s="33" customFormat="1" ht="24" customHeight="1" x14ac:dyDescent="0.25">
      <c r="A381" s="70">
        <v>139</v>
      </c>
      <c r="B381" s="49" t="s">
        <v>11</v>
      </c>
      <c r="C381" s="152"/>
      <c r="D381" s="52" t="s">
        <v>349</v>
      </c>
      <c r="E381" s="52" t="s">
        <v>965</v>
      </c>
      <c r="F381" s="52" t="s">
        <v>261</v>
      </c>
      <c r="G381" s="61">
        <v>60</v>
      </c>
      <c r="H381" s="61"/>
      <c r="I381" s="61">
        <f t="shared" si="33"/>
        <v>60</v>
      </c>
      <c r="J381" s="95">
        <v>4</v>
      </c>
      <c r="K381" s="61">
        <f t="shared" si="32"/>
        <v>240</v>
      </c>
      <c r="L381" s="56"/>
      <c r="M381" s="56"/>
      <c r="N381" s="56"/>
    </row>
    <row r="382" spans="1:14" s="33" customFormat="1" ht="24" customHeight="1" x14ac:dyDescent="0.25">
      <c r="A382" s="70">
        <v>140</v>
      </c>
      <c r="B382" s="49" t="s">
        <v>11</v>
      </c>
      <c r="C382" s="152"/>
      <c r="D382" s="52" t="s">
        <v>350</v>
      </c>
      <c r="E382" s="52" t="s">
        <v>965</v>
      </c>
      <c r="F382" s="52" t="s">
        <v>261</v>
      </c>
      <c r="G382" s="61">
        <v>60</v>
      </c>
      <c r="H382" s="61"/>
      <c r="I382" s="61">
        <f t="shared" si="33"/>
        <v>60</v>
      </c>
      <c r="J382" s="95">
        <v>4</v>
      </c>
      <c r="K382" s="61">
        <f t="shared" si="32"/>
        <v>240</v>
      </c>
      <c r="L382" s="56"/>
      <c r="M382" s="56"/>
      <c r="N382" s="56"/>
    </row>
    <row r="383" spans="1:14" s="33" customFormat="1" ht="24" customHeight="1" x14ac:dyDescent="0.25">
      <c r="A383" s="70">
        <v>141</v>
      </c>
      <c r="B383" s="49" t="s">
        <v>11</v>
      </c>
      <c r="C383" s="152"/>
      <c r="D383" s="52" t="s">
        <v>351</v>
      </c>
      <c r="E383" s="52" t="s">
        <v>941</v>
      </c>
      <c r="F383" s="52" t="s">
        <v>261</v>
      </c>
      <c r="G383" s="61">
        <v>40</v>
      </c>
      <c r="H383" s="61"/>
      <c r="I383" s="61">
        <f t="shared" si="33"/>
        <v>40</v>
      </c>
      <c r="J383" s="95">
        <v>3</v>
      </c>
      <c r="K383" s="61">
        <f t="shared" ref="K383:K385" si="34">I383*J383</f>
        <v>120</v>
      </c>
      <c r="L383" s="56"/>
      <c r="M383" s="56"/>
      <c r="N383" s="56"/>
    </row>
    <row r="384" spans="1:14" s="33" customFormat="1" ht="24" customHeight="1" x14ac:dyDescent="0.25">
      <c r="A384" s="70">
        <v>142</v>
      </c>
      <c r="B384" s="49" t="s">
        <v>11</v>
      </c>
      <c r="C384" s="152"/>
      <c r="D384" s="52" t="s">
        <v>938</v>
      </c>
      <c r="E384" s="52" t="s">
        <v>888</v>
      </c>
      <c r="F384" s="52" t="s">
        <v>469</v>
      </c>
      <c r="G384" s="61">
        <v>50</v>
      </c>
      <c r="H384" s="61"/>
      <c r="I384" s="61">
        <f t="shared" si="33"/>
        <v>50</v>
      </c>
      <c r="J384" s="95">
        <v>4</v>
      </c>
      <c r="K384" s="61">
        <f t="shared" si="34"/>
        <v>200</v>
      </c>
      <c r="L384" s="56"/>
      <c r="M384" s="56"/>
      <c r="N384" s="56"/>
    </row>
    <row r="385" spans="1:14" s="33" customFormat="1" ht="24" customHeight="1" x14ac:dyDescent="0.25">
      <c r="A385" s="70">
        <v>143</v>
      </c>
      <c r="B385" s="49" t="s">
        <v>11</v>
      </c>
      <c r="C385" s="153"/>
      <c r="D385" s="52" t="s">
        <v>939</v>
      </c>
      <c r="E385" s="52" t="s">
        <v>888</v>
      </c>
      <c r="F385" s="29" t="s">
        <v>261</v>
      </c>
      <c r="G385" s="61">
        <v>50</v>
      </c>
      <c r="H385" s="61"/>
      <c r="I385" s="61">
        <f t="shared" si="33"/>
        <v>50</v>
      </c>
      <c r="J385" s="95">
        <v>4</v>
      </c>
      <c r="K385" s="61">
        <f t="shared" si="34"/>
        <v>200</v>
      </c>
      <c r="L385" s="56"/>
      <c r="M385" s="56"/>
      <c r="N385" s="56"/>
    </row>
    <row r="386" spans="1:14" s="33" customFormat="1" ht="24" customHeight="1" x14ac:dyDescent="0.25">
      <c r="A386" s="62"/>
      <c r="B386" s="21"/>
      <c r="C386" s="63"/>
      <c r="D386" s="39" t="s">
        <v>48</v>
      </c>
      <c r="E386" s="39"/>
      <c r="F386" s="63"/>
      <c r="G386" s="40"/>
      <c r="H386" s="40"/>
      <c r="I386" s="40"/>
      <c r="J386" s="39"/>
      <c r="K386" s="40">
        <f>SUM(K243:K385)</f>
        <v>29516403.940000001</v>
      </c>
      <c r="L386" s="56"/>
      <c r="M386" s="56"/>
      <c r="N386" s="56"/>
    </row>
    <row r="387" spans="1:14" s="33" customFormat="1" ht="24" customHeight="1" x14ac:dyDescent="0.25">
      <c r="A387" s="70">
        <v>1</v>
      </c>
      <c r="B387" s="49" t="s">
        <v>71</v>
      </c>
      <c r="C387" s="154" t="s">
        <v>488</v>
      </c>
      <c r="D387" s="52" t="s">
        <v>21</v>
      </c>
      <c r="E387" s="52" t="s">
        <v>21</v>
      </c>
      <c r="F387" s="52" t="s">
        <v>236</v>
      </c>
      <c r="G387" s="61"/>
      <c r="H387" s="51">
        <v>120000</v>
      </c>
      <c r="I387" s="61">
        <f t="shared" ref="I387:I451" si="35">SUM(G387:H387)</f>
        <v>120000</v>
      </c>
      <c r="J387" s="52">
        <v>1</v>
      </c>
      <c r="K387" s="61">
        <f t="shared" ref="K387:K401" si="36">I387*J387</f>
        <v>120000</v>
      </c>
      <c r="L387" s="56"/>
      <c r="M387" s="56"/>
      <c r="N387" s="56"/>
    </row>
    <row r="388" spans="1:14" s="33" customFormat="1" ht="24" customHeight="1" x14ac:dyDescent="0.25">
      <c r="A388" s="70">
        <v>2</v>
      </c>
      <c r="B388" s="49" t="s">
        <v>71</v>
      </c>
      <c r="C388" s="155"/>
      <c r="D388" s="52" t="s">
        <v>26</v>
      </c>
      <c r="E388" s="52" t="s">
        <v>5</v>
      </c>
      <c r="F388" s="101" t="s">
        <v>88</v>
      </c>
      <c r="G388" s="61">
        <v>245000</v>
      </c>
      <c r="H388" s="51"/>
      <c r="I388" s="61">
        <f t="shared" si="35"/>
        <v>245000</v>
      </c>
      <c r="J388" s="52">
        <v>1</v>
      </c>
      <c r="K388" s="61">
        <f t="shared" si="36"/>
        <v>245000</v>
      </c>
      <c r="L388" s="56"/>
      <c r="M388" s="56"/>
      <c r="N388" s="56"/>
    </row>
    <row r="389" spans="1:14" s="33" customFormat="1" ht="24" customHeight="1" x14ac:dyDescent="0.25">
      <c r="A389" s="70">
        <v>3</v>
      </c>
      <c r="B389" s="49" t="s">
        <v>71</v>
      </c>
      <c r="C389" s="155"/>
      <c r="D389" s="52" t="s">
        <v>24</v>
      </c>
      <c r="E389" s="52" t="s">
        <v>237</v>
      </c>
      <c r="F389" s="101" t="s">
        <v>231</v>
      </c>
      <c r="G389" s="61">
        <v>11900</v>
      </c>
      <c r="H389" s="51"/>
      <c r="I389" s="61">
        <f t="shared" si="35"/>
        <v>11900</v>
      </c>
      <c r="J389" s="52">
        <v>1</v>
      </c>
      <c r="K389" s="61">
        <f t="shared" si="36"/>
        <v>11900</v>
      </c>
      <c r="L389" s="56"/>
      <c r="M389" s="56"/>
      <c r="N389" s="56"/>
    </row>
    <row r="390" spans="1:14" s="33" customFormat="1" ht="24" customHeight="1" x14ac:dyDescent="0.25">
      <c r="A390" s="70">
        <v>4</v>
      </c>
      <c r="B390" s="49" t="s">
        <v>71</v>
      </c>
      <c r="C390" s="155"/>
      <c r="D390" s="52" t="s">
        <v>232</v>
      </c>
      <c r="E390" s="52" t="s">
        <v>233</v>
      </c>
      <c r="F390" s="101" t="s">
        <v>231</v>
      </c>
      <c r="G390" s="61">
        <v>17700</v>
      </c>
      <c r="H390" s="51"/>
      <c r="I390" s="61">
        <f t="shared" si="35"/>
        <v>17700</v>
      </c>
      <c r="J390" s="52">
        <v>3</v>
      </c>
      <c r="K390" s="61">
        <f t="shared" si="36"/>
        <v>53100</v>
      </c>
      <c r="L390" s="56"/>
      <c r="M390" s="56"/>
      <c r="N390" s="56"/>
    </row>
    <row r="391" spans="1:14" s="33" customFormat="1" ht="24" customHeight="1" x14ac:dyDescent="0.25">
      <c r="A391" s="70">
        <v>5</v>
      </c>
      <c r="B391" s="49" t="s">
        <v>71</v>
      </c>
      <c r="C391" s="155"/>
      <c r="D391" s="52" t="s">
        <v>234</v>
      </c>
      <c r="E391" s="52" t="s">
        <v>235</v>
      </c>
      <c r="F391" s="101" t="s">
        <v>85</v>
      </c>
      <c r="G391" s="61">
        <v>11000</v>
      </c>
      <c r="H391" s="51"/>
      <c r="I391" s="61">
        <f t="shared" si="35"/>
        <v>11000</v>
      </c>
      <c r="J391" s="52">
        <v>3</v>
      </c>
      <c r="K391" s="61">
        <f t="shared" si="36"/>
        <v>33000</v>
      </c>
      <c r="L391" s="56"/>
      <c r="M391" s="56"/>
      <c r="N391" s="56"/>
    </row>
    <row r="392" spans="1:14" s="33" customFormat="1" ht="24" customHeight="1" x14ac:dyDescent="0.25">
      <c r="A392" s="70">
        <v>6</v>
      </c>
      <c r="B392" s="49" t="s">
        <v>71</v>
      </c>
      <c r="C392" s="155"/>
      <c r="D392" s="102" t="s">
        <v>238</v>
      </c>
      <c r="E392" s="102" t="s">
        <v>239</v>
      </c>
      <c r="F392" s="101" t="s">
        <v>240</v>
      </c>
      <c r="G392" s="61">
        <v>6000</v>
      </c>
      <c r="H392" s="51"/>
      <c r="I392" s="61">
        <f t="shared" si="35"/>
        <v>6000</v>
      </c>
      <c r="J392" s="52">
        <v>2</v>
      </c>
      <c r="K392" s="61">
        <f t="shared" si="36"/>
        <v>12000</v>
      </c>
      <c r="L392" s="56"/>
      <c r="M392" s="56"/>
      <c r="N392" s="56"/>
    </row>
    <row r="393" spans="1:14" s="33" customFormat="1" ht="24" customHeight="1" x14ac:dyDescent="0.25">
      <c r="A393" s="70">
        <v>7</v>
      </c>
      <c r="B393" s="49" t="s">
        <v>71</v>
      </c>
      <c r="C393" s="155"/>
      <c r="D393" s="102" t="s">
        <v>241</v>
      </c>
      <c r="E393" s="102" t="s">
        <v>28</v>
      </c>
      <c r="F393" s="101" t="s">
        <v>231</v>
      </c>
      <c r="G393" s="61">
        <v>3300</v>
      </c>
      <c r="H393" s="51"/>
      <c r="I393" s="61">
        <f t="shared" si="35"/>
        <v>3300</v>
      </c>
      <c r="J393" s="52">
        <v>2</v>
      </c>
      <c r="K393" s="61">
        <f t="shared" si="36"/>
        <v>6600</v>
      </c>
      <c r="L393" s="56"/>
      <c r="M393" s="56"/>
      <c r="N393" s="56"/>
    </row>
    <row r="394" spans="1:14" s="33" customFormat="1" ht="24" customHeight="1" x14ac:dyDescent="0.25">
      <c r="A394" s="70">
        <v>8</v>
      </c>
      <c r="B394" s="49" t="s">
        <v>71</v>
      </c>
      <c r="C394" s="155"/>
      <c r="D394" s="102" t="s">
        <v>489</v>
      </c>
      <c r="E394" s="102" t="s">
        <v>228</v>
      </c>
      <c r="F394" s="101" t="s">
        <v>229</v>
      </c>
      <c r="G394" s="61">
        <v>2710</v>
      </c>
      <c r="H394" s="51"/>
      <c r="I394" s="61">
        <f t="shared" si="35"/>
        <v>2710</v>
      </c>
      <c r="J394" s="52">
        <v>2</v>
      </c>
      <c r="K394" s="61">
        <f t="shared" si="36"/>
        <v>5420</v>
      </c>
      <c r="L394" s="56"/>
      <c r="M394" s="56"/>
      <c r="N394" s="56"/>
    </row>
    <row r="395" spans="1:14" s="33" customFormat="1" ht="24" customHeight="1" x14ac:dyDescent="0.25">
      <c r="A395" s="70">
        <v>9</v>
      </c>
      <c r="B395" s="49" t="s">
        <v>71</v>
      </c>
      <c r="C395" s="155"/>
      <c r="D395" s="52" t="s">
        <v>242</v>
      </c>
      <c r="E395" s="52" t="s">
        <v>243</v>
      </c>
      <c r="F395" s="101" t="s">
        <v>231</v>
      </c>
      <c r="G395" s="61">
        <v>6490</v>
      </c>
      <c r="H395" s="51"/>
      <c r="I395" s="61">
        <f t="shared" si="35"/>
        <v>6490</v>
      </c>
      <c r="J395" s="52">
        <v>2</v>
      </c>
      <c r="K395" s="61">
        <f t="shared" si="36"/>
        <v>12980</v>
      </c>
      <c r="L395" s="56"/>
      <c r="M395" s="56"/>
      <c r="N395" s="56"/>
    </row>
    <row r="396" spans="1:14" s="33" customFormat="1" ht="24" customHeight="1" x14ac:dyDescent="0.25">
      <c r="A396" s="70">
        <v>10</v>
      </c>
      <c r="B396" s="49" t="s">
        <v>71</v>
      </c>
      <c r="C396" s="155"/>
      <c r="D396" s="52" t="s">
        <v>244</v>
      </c>
      <c r="E396" s="52" t="s">
        <v>490</v>
      </c>
      <c r="F396" s="101" t="s">
        <v>231</v>
      </c>
      <c r="G396" s="61">
        <v>8000</v>
      </c>
      <c r="H396" s="51"/>
      <c r="I396" s="61">
        <f t="shared" si="35"/>
        <v>8000</v>
      </c>
      <c r="J396" s="52">
        <v>1</v>
      </c>
      <c r="K396" s="61">
        <f t="shared" si="36"/>
        <v>8000</v>
      </c>
      <c r="L396" s="56"/>
      <c r="M396" s="56"/>
      <c r="N396" s="56"/>
    </row>
    <row r="397" spans="1:14" s="33" customFormat="1" ht="24" customHeight="1" x14ac:dyDescent="0.25">
      <c r="A397" s="70">
        <v>11</v>
      </c>
      <c r="B397" s="49" t="s">
        <v>71</v>
      </c>
      <c r="C397" s="155"/>
      <c r="D397" s="52" t="s">
        <v>245</v>
      </c>
      <c r="E397" s="52" t="s">
        <v>246</v>
      </c>
      <c r="F397" s="101" t="s">
        <v>247</v>
      </c>
      <c r="G397" s="61">
        <v>104979</v>
      </c>
      <c r="H397" s="51"/>
      <c r="I397" s="61">
        <f t="shared" si="35"/>
        <v>104979</v>
      </c>
      <c r="J397" s="52">
        <v>1</v>
      </c>
      <c r="K397" s="61">
        <f t="shared" si="36"/>
        <v>104979</v>
      </c>
      <c r="L397" s="56"/>
      <c r="M397" s="56"/>
      <c r="N397" s="56"/>
    </row>
    <row r="398" spans="1:14" s="33" customFormat="1" ht="24" customHeight="1" x14ac:dyDescent="0.25">
      <c r="A398" s="70">
        <v>12</v>
      </c>
      <c r="B398" s="49" t="s">
        <v>71</v>
      </c>
      <c r="C398" s="155"/>
      <c r="D398" s="52" t="s">
        <v>491</v>
      </c>
      <c r="E398" s="52" t="s">
        <v>492</v>
      </c>
      <c r="F398" s="101" t="s">
        <v>449</v>
      </c>
      <c r="G398" s="61"/>
      <c r="H398" s="51">
        <v>10000</v>
      </c>
      <c r="I398" s="61">
        <f t="shared" si="35"/>
        <v>10000</v>
      </c>
      <c r="J398" s="52">
        <v>1</v>
      </c>
      <c r="K398" s="61">
        <f t="shared" si="36"/>
        <v>10000</v>
      </c>
      <c r="L398" s="56"/>
      <c r="M398" s="56"/>
      <c r="N398" s="56"/>
    </row>
    <row r="399" spans="1:14" s="33" customFormat="1" ht="24" customHeight="1" x14ac:dyDescent="0.25">
      <c r="A399" s="70">
        <v>13</v>
      </c>
      <c r="B399" s="49" t="s">
        <v>71</v>
      </c>
      <c r="C399" s="155"/>
      <c r="D399" s="52" t="s">
        <v>86</v>
      </c>
      <c r="E399" s="52" t="s">
        <v>910</v>
      </c>
      <c r="F399" s="52" t="s">
        <v>85</v>
      </c>
      <c r="G399" s="61">
        <v>140</v>
      </c>
      <c r="H399" s="51"/>
      <c r="I399" s="61">
        <f t="shared" si="35"/>
        <v>140</v>
      </c>
      <c r="J399" s="52">
        <v>16</v>
      </c>
      <c r="K399" s="61">
        <f t="shared" si="36"/>
        <v>2240</v>
      </c>
      <c r="L399" s="56"/>
      <c r="M399" s="56"/>
      <c r="N399" s="56"/>
    </row>
    <row r="400" spans="1:14" ht="24" customHeight="1" x14ac:dyDescent="0.25">
      <c r="A400" s="70">
        <v>14</v>
      </c>
      <c r="B400" s="49" t="s">
        <v>968</v>
      </c>
      <c r="C400" s="156"/>
      <c r="D400" s="52" t="s">
        <v>967</v>
      </c>
      <c r="E400" s="76" t="s">
        <v>966</v>
      </c>
      <c r="F400" s="71" t="s">
        <v>201</v>
      </c>
      <c r="G400" s="60">
        <v>80000</v>
      </c>
      <c r="H400" s="60"/>
      <c r="I400" s="60">
        <f t="shared" si="35"/>
        <v>80000</v>
      </c>
      <c r="J400" s="49">
        <v>1</v>
      </c>
      <c r="K400" s="60">
        <f t="shared" si="36"/>
        <v>80000</v>
      </c>
      <c r="L400" s="104"/>
    </row>
    <row r="401" spans="1:14" s="33" customFormat="1" ht="24" customHeight="1" x14ac:dyDescent="0.25">
      <c r="A401" s="70">
        <v>15</v>
      </c>
      <c r="B401" s="49" t="s">
        <v>71</v>
      </c>
      <c r="C401" s="143" t="s">
        <v>795</v>
      </c>
      <c r="D401" s="52" t="s">
        <v>798</v>
      </c>
      <c r="E401" s="52" t="s">
        <v>909</v>
      </c>
      <c r="F401" s="52" t="s">
        <v>493</v>
      </c>
      <c r="G401" s="61"/>
      <c r="H401" s="61">
        <v>12194</v>
      </c>
      <c r="I401" s="61">
        <f t="shared" si="35"/>
        <v>12194</v>
      </c>
      <c r="J401" s="52">
        <v>1</v>
      </c>
      <c r="K401" s="61">
        <f t="shared" si="36"/>
        <v>12194</v>
      </c>
      <c r="L401" s="56"/>
      <c r="M401" s="56"/>
      <c r="N401" s="56"/>
    </row>
    <row r="402" spans="1:14" s="33" customFormat="1" ht="24" customHeight="1" x14ac:dyDescent="0.25">
      <c r="A402" s="70">
        <v>16</v>
      </c>
      <c r="B402" s="49" t="s">
        <v>71</v>
      </c>
      <c r="C402" s="143"/>
      <c r="D402" s="52" t="s">
        <v>494</v>
      </c>
      <c r="E402" s="52" t="s">
        <v>495</v>
      </c>
      <c r="F402" s="101" t="s">
        <v>457</v>
      </c>
      <c r="G402" s="107">
        <v>2480</v>
      </c>
      <c r="H402" s="51"/>
      <c r="I402" s="61">
        <f t="shared" si="35"/>
        <v>2480</v>
      </c>
      <c r="J402" s="52">
        <v>4</v>
      </c>
      <c r="K402" s="61">
        <f>I402*J402</f>
        <v>9920</v>
      </c>
      <c r="L402" s="56"/>
      <c r="M402" s="56"/>
      <c r="N402" s="56"/>
    </row>
    <row r="403" spans="1:14" s="33" customFormat="1" ht="24" customHeight="1" x14ac:dyDescent="0.25">
      <c r="A403" s="70">
        <v>17</v>
      </c>
      <c r="B403" s="49" t="s">
        <v>71</v>
      </c>
      <c r="C403" s="143"/>
      <c r="D403" s="52" t="s">
        <v>496</v>
      </c>
      <c r="E403" s="52" t="s">
        <v>497</v>
      </c>
      <c r="F403" s="101" t="s">
        <v>457</v>
      </c>
      <c r="G403" s="61">
        <v>160</v>
      </c>
      <c r="H403" s="51"/>
      <c r="I403" s="61">
        <f>SUM(G403:H403)</f>
        <v>160</v>
      </c>
      <c r="J403" s="52">
        <v>5</v>
      </c>
      <c r="K403" s="61">
        <f t="shared" ref="K403:K466" si="37">I403*J403</f>
        <v>800</v>
      </c>
      <c r="L403" s="56"/>
      <c r="M403" s="56"/>
      <c r="N403" s="56"/>
    </row>
    <row r="404" spans="1:14" s="33" customFormat="1" ht="24" customHeight="1" x14ac:dyDescent="0.25">
      <c r="A404" s="70">
        <v>18</v>
      </c>
      <c r="B404" s="49" t="s">
        <v>71</v>
      </c>
      <c r="C404" s="143"/>
      <c r="D404" s="52" t="s">
        <v>498</v>
      </c>
      <c r="E404" s="52" t="s">
        <v>675</v>
      </c>
      <c r="F404" s="101" t="s">
        <v>226</v>
      </c>
      <c r="G404" s="61">
        <v>689</v>
      </c>
      <c r="H404" s="51"/>
      <c r="I404" s="61">
        <f t="shared" si="35"/>
        <v>689</v>
      </c>
      <c r="J404" s="52">
        <v>1</v>
      </c>
      <c r="K404" s="61">
        <f t="shared" si="37"/>
        <v>689</v>
      </c>
      <c r="L404" s="56"/>
      <c r="M404" s="56"/>
      <c r="N404" s="56"/>
    </row>
    <row r="405" spans="1:14" s="33" customFormat="1" ht="24" customHeight="1" x14ac:dyDescent="0.25">
      <c r="A405" s="70">
        <v>19</v>
      </c>
      <c r="B405" s="49" t="s">
        <v>71</v>
      </c>
      <c r="C405" s="143"/>
      <c r="D405" s="52" t="s">
        <v>499</v>
      </c>
      <c r="E405" s="52" t="s">
        <v>500</v>
      </c>
      <c r="F405" s="101" t="s">
        <v>457</v>
      </c>
      <c r="G405" s="61">
        <v>40</v>
      </c>
      <c r="H405" s="51"/>
      <c r="I405" s="61">
        <f t="shared" si="35"/>
        <v>40</v>
      </c>
      <c r="J405" s="52">
        <v>1</v>
      </c>
      <c r="K405" s="61">
        <f t="shared" si="37"/>
        <v>40</v>
      </c>
      <c r="L405" s="56"/>
      <c r="M405" s="56"/>
      <c r="N405" s="56"/>
    </row>
    <row r="406" spans="1:14" s="33" customFormat="1" ht="24" customHeight="1" x14ac:dyDescent="0.25">
      <c r="A406" s="70">
        <v>20</v>
      </c>
      <c r="B406" s="49" t="s">
        <v>71</v>
      </c>
      <c r="C406" s="143"/>
      <c r="D406" s="52" t="s">
        <v>501</v>
      </c>
      <c r="E406" s="52" t="s">
        <v>500</v>
      </c>
      <c r="F406" s="52" t="s">
        <v>457</v>
      </c>
      <c r="G406" s="61">
        <v>40</v>
      </c>
      <c r="H406" s="51"/>
      <c r="I406" s="61">
        <f t="shared" si="35"/>
        <v>40</v>
      </c>
      <c r="J406" s="52">
        <v>1</v>
      </c>
      <c r="K406" s="61">
        <f t="shared" si="37"/>
        <v>40</v>
      </c>
      <c r="L406" s="56"/>
      <c r="M406" s="56"/>
      <c r="N406" s="56"/>
    </row>
    <row r="407" spans="1:14" s="33" customFormat="1" ht="24" customHeight="1" x14ac:dyDescent="0.25">
      <c r="A407" s="70">
        <v>21</v>
      </c>
      <c r="B407" s="49" t="s">
        <v>71</v>
      </c>
      <c r="C407" s="151" t="s">
        <v>796</v>
      </c>
      <c r="D407" s="52" t="s">
        <v>502</v>
      </c>
      <c r="E407" s="52" t="s">
        <v>676</v>
      </c>
      <c r="F407" s="52" t="s">
        <v>503</v>
      </c>
      <c r="G407" s="61">
        <v>19</v>
      </c>
      <c r="H407" s="51"/>
      <c r="I407" s="61">
        <f t="shared" si="35"/>
        <v>19</v>
      </c>
      <c r="J407" s="52">
        <v>1</v>
      </c>
      <c r="K407" s="61">
        <f t="shared" si="37"/>
        <v>19</v>
      </c>
      <c r="L407" s="56"/>
      <c r="M407" s="56"/>
      <c r="N407" s="56"/>
    </row>
    <row r="408" spans="1:14" s="33" customFormat="1" ht="24" customHeight="1" x14ac:dyDescent="0.25">
      <c r="A408" s="70">
        <v>22</v>
      </c>
      <c r="B408" s="49" t="s">
        <v>71</v>
      </c>
      <c r="C408" s="152"/>
      <c r="D408" s="52" t="s">
        <v>502</v>
      </c>
      <c r="E408" s="52" t="s">
        <v>677</v>
      </c>
      <c r="F408" s="52" t="s">
        <v>457</v>
      </c>
      <c r="G408" s="61">
        <v>25</v>
      </c>
      <c r="H408" s="51"/>
      <c r="I408" s="61">
        <f t="shared" si="35"/>
        <v>25</v>
      </c>
      <c r="J408" s="52">
        <v>1</v>
      </c>
      <c r="K408" s="61">
        <f t="shared" si="37"/>
        <v>25</v>
      </c>
      <c r="L408" s="56"/>
      <c r="M408" s="56"/>
      <c r="N408" s="56"/>
    </row>
    <row r="409" spans="1:14" s="33" customFormat="1" ht="24" customHeight="1" x14ac:dyDescent="0.25">
      <c r="A409" s="70">
        <v>23</v>
      </c>
      <c r="B409" s="49" t="s">
        <v>71</v>
      </c>
      <c r="C409" s="152"/>
      <c r="D409" s="52" t="s">
        <v>504</v>
      </c>
      <c r="E409" s="52" t="s">
        <v>678</v>
      </c>
      <c r="F409" s="52" t="s">
        <v>503</v>
      </c>
      <c r="G409" s="61">
        <v>19</v>
      </c>
      <c r="H409" s="51"/>
      <c r="I409" s="61">
        <f t="shared" si="35"/>
        <v>19</v>
      </c>
      <c r="J409" s="52">
        <v>1</v>
      </c>
      <c r="K409" s="61">
        <f t="shared" si="37"/>
        <v>19</v>
      </c>
      <c r="L409" s="56"/>
      <c r="M409" s="56"/>
      <c r="N409" s="56"/>
    </row>
    <row r="410" spans="1:14" s="33" customFormat="1" ht="24" customHeight="1" x14ac:dyDescent="0.25">
      <c r="A410" s="70">
        <v>24</v>
      </c>
      <c r="B410" s="49" t="s">
        <v>71</v>
      </c>
      <c r="C410" s="152"/>
      <c r="D410" s="52" t="s">
        <v>504</v>
      </c>
      <c r="E410" s="52" t="s">
        <v>679</v>
      </c>
      <c r="F410" s="52" t="s">
        <v>457</v>
      </c>
      <c r="G410" s="61">
        <v>13</v>
      </c>
      <c r="H410" s="51"/>
      <c r="I410" s="61">
        <f t="shared" si="35"/>
        <v>13</v>
      </c>
      <c r="J410" s="52">
        <v>1</v>
      </c>
      <c r="K410" s="61">
        <f t="shared" si="37"/>
        <v>13</v>
      </c>
      <c r="L410" s="56"/>
      <c r="M410" s="56"/>
      <c r="N410" s="56"/>
    </row>
    <row r="411" spans="1:14" s="33" customFormat="1" ht="24" customHeight="1" x14ac:dyDescent="0.25">
      <c r="A411" s="70">
        <v>25</v>
      </c>
      <c r="B411" s="49" t="s">
        <v>71</v>
      </c>
      <c r="C411" s="152"/>
      <c r="D411" s="52" t="s">
        <v>505</v>
      </c>
      <c r="E411" s="52" t="s">
        <v>506</v>
      </c>
      <c r="F411" s="52" t="s">
        <v>457</v>
      </c>
      <c r="G411" s="61">
        <v>25</v>
      </c>
      <c r="H411" s="51"/>
      <c r="I411" s="61">
        <f t="shared" si="35"/>
        <v>25</v>
      </c>
      <c r="J411" s="52">
        <v>1</v>
      </c>
      <c r="K411" s="61">
        <f t="shared" si="37"/>
        <v>25</v>
      </c>
      <c r="L411" s="56"/>
      <c r="M411" s="56"/>
      <c r="N411" s="56"/>
    </row>
    <row r="412" spans="1:14" s="33" customFormat="1" ht="24" customHeight="1" x14ac:dyDescent="0.25">
      <c r="A412" s="70">
        <v>26</v>
      </c>
      <c r="B412" s="49" t="s">
        <v>71</v>
      </c>
      <c r="C412" s="152"/>
      <c r="D412" s="52" t="s">
        <v>507</v>
      </c>
      <c r="E412" s="52" t="s">
        <v>508</v>
      </c>
      <c r="F412" s="101" t="s">
        <v>457</v>
      </c>
      <c r="G412" s="61">
        <v>100</v>
      </c>
      <c r="H412" s="51"/>
      <c r="I412" s="61">
        <f t="shared" si="35"/>
        <v>100</v>
      </c>
      <c r="J412" s="52">
        <v>4</v>
      </c>
      <c r="K412" s="61">
        <f t="shared" si="37"/>
        <v>400</v>
      </c>
      <c r="L412" s="56"/>
      <c r="M412" s="56"/>
      <c r="N412" s="56"/>
    </row>
    <row r="413" spans="1:14" s="33" customFormat="1" ht="24" customHeight="1" x14ac:dyDescent="0.25">
      <c r="A413" s="70">
        <v>27</v>
      </c>
      <c r="B413" s="49" t="s">
        <v>71</v>
      </c>
      <c r="C413" s="152"/>
      <c r="D413" s="52" t="s">
        <v>509</v>
      </c>
      <c r="E413" s="103" t="s">
        <v>510</v>
      </c>
      <c r="F413" s="98" t="s">
        <v>511</v>
      </c>
      <c r="G413" s="61">
        <v>10636</v>
      </c>
      <c r="H413" s="51"/>
      <c r="I413" s="61">
        <f t="shared" si="35"/>
        <v>10636</v>
      </c>
      <c r="J413" s="52">
        <v>1</v>
      </c>
      <c r="K413" s="61">
        <f t="shared" si="37"/>
        <v>10636</v>
      </c>
      <c r="L413" s="56"/>
      <c r="M413" s="56"/>
      <c r="N413" s="56"/>
    </row>
    <row r="414" spans="1:14" s="33" customFormat="1" ht="24" customHeight="1" x14ac:dyDescent="0.25">
      <c r="A414" s="70">
        <v>28</v>
      </c>
      <c r="B414" s="49" t="s">
        <v>71</v>
      </c>
      <c r="C414" s="152"/>
      <c r="D414" s="52" t="s">
        <v>512</v>
      </c>
      <c r="E414" s="52" t="s">
        <v>680</v>
      </c>
      <c r="F414" s="52" t="s">
        <v>513</v>
      </c>
      <c r="G414" s="61">
        <v>82</v>
      </c>
      <c r="H414" s="51"/>
      <c r="I414" s="61">
        <f t="shared" si="35"/>
        <v>82</v>
      </c>
      <c r="J414" s="52">
        <v>3</v>
      </c>
      <c r="K414" s="61">
        <f t="shared" si="37"/>
        <v>246</v>
      </c>
      <c r="L414" s="56"/>
      <c r="M414" s="56"/>
      <c r="N414" s="56"/>
    </row>
    <row r="415" spans="1:14" s="33" customFormat="1" ht="24" customHeight="1" x14ac:dyDescent="0.3">
      <c r="A415" s="70">
        <v>29</v>
      </c>
      <c r="B415" s="49" t="s">
        <v>71</v>
      </c>
      <c r="C415" s="152"/>
      <c r="D415" s="52" t="s">
        <v>512</v>
      </c>
      <c r="E415" s="106" t="s">
        <v>514</v>
      </c>
      <c r="F415" s="52" t="s">
        <v>226</v>
      </c>
      <c r="G415" s="61">
        <v>53</v>
      </c>
      <c r="H415" s="51"/>
      <c r="I415" s="61">
        <f t="shared" si="35"/>
        <v>53</v>
      </c>
      <c r="J415" s="52">
        <v>1</v>
      </c>
      <c r="K415" s="61">
        <f t="shared" si="37"/>
        <v>53</v>
      </c>
      <c r="L415" s="56"/>
      <c r="M415" s="56"/>
      <c r="N415" s="56"/>
    </row>
    <row r="416" spans="1:14" s="33" customFormat="1" ht="24" customHeight="1" x14ac:dyDescent="0.25">
      <c r="A416" s="70">
        <v>30</v>
      </c>
      <c r="B416" s="49" t="s">
        <v>71</v>
      </c>
      <c r="C416" s="152"/>
      <c r="D416" s="52" t="s">
        <v>515</v>
      </c>
      <c r="E416" s="52" t="s">
        <v>516</v>
      </c>
      <c r="F416" s="52" t="s">
        <v>457</v>
      </c>
      <c r="G416" s="61">
        <v>1000</v>
      </c>
      <c r="H416" s="51"/>
      <c r="I416" s="61">
        <f t="shared" si="35"/>
        <v>1000</v>
      </c>
      <c r="J416" s="52">
        <v>2</v>
      </c>
      <c r="K416" s="61">
        <f t="shared" si="37"/>
        <v>2000</v>
      </c>
      <c r="L416" s="56"/>
      <c r="M416" s="56"/>
      <c r="N416" s="56"/>
    </row>
    <row r="417" spans="1:14" s="33" customFormat="1" ht="24" customHeight="1" x14ac:dyDescent="0.25">
      <c r="A417" s="70">
        <v>31</v>
      </c>
      <c r="B417" s="49" t="s">
        <v>71</v>
      </c>
      <c r="C417" s="152"/>
      <c r="D417" s="52" t="s">
        <v>517</v>
      </c>
      <c r="E417" s="52" t="s">
        <v>518</v>
      </c>
      <c r="F417" s="52" t="s">
        <v>457</v>
      </c>
      <c r="G417" s="61">
        <v>1210</v>
      </c>
      <c r="H417" s="51"/>
      <c r="I417" s="61">
        <f t="shared" si="35"/>
        <v>1210</v>
      </c>
      <c r="J417" s="52">
        <v>2</v>
      </c>
      <c r="K417" s="61">
        <f t="shared" si="37"/>
        <v>2420</v>
      </c>
      <c r="L417" s="56"/>
      <c r="M417" s="56"/>
      <c r="N417" s="56"/>
    </row>
    <row r="418" spans="1:14" s="33" customFormat="1" ht="24" customHeight="1" x14ac:dyDescent="0.25">
      <c r="A418" s="70">
        <v>32</v>
      </c>
      <c r="B418" s="49" t="s">
        <v>71</v>
      </c>
      <c r="C418" s="152"/>
      <c r="D418" s="52" t="s">
        <v>519</v>
      </c>
      <c r="E418" s="52" t="s">
        <v>520</v>
      </c>
      <c r="F418" s="52" t="s">
        <v>457</v>
      </c>
      <c r="G418" s="61">
        <v>30</v>
      </c>
      <c r="H418" s="51"/>
      <c r="I418" s="61">
        <f t="shared" si="35"/>
        <v>30</v>
      </c>
      <c r="J418" s="52">
        <v>2</v>
      </c>
      <c r="K418" s="61">
        <f t="shared" si="37"/>
        <v>60</v>
      </c>
      <c r="L418" s="56"/>
      <c r="M418" s="56"/>
      <c r="N418" s="56"/>
    </row>
    <row r="419" spans="1:14" s="33" customFormat="1" ht="24" customHeight="1" x14ac:dyDescent="0.25">
      <c r="A419" s="70">
        <v>33</v>
      </c>
      <c r="B419" s="49" t="s">
        <v>71</v>
      </c>
      <c r="C419" s="152"/>
      <c r="D419" s="52" t="s">
        <v>521</v>
      </c>
      <c r="E419" s="97" t="s">
        <v>681</v>
      </c>
      <c r="F419" s="101" t="s">
        <v>231</v>
      </c>
      <c r="G419" s="61">
        <v>5</v>
      </c>
      <c r="H419" s="51"/>
      <c r="I419" s="61">
        <f t="shared" si="35"/>
        <v>5</v>
      </c>
      <c r="J419" s="52">
        <v>2</v>
      </c>
      <c r="K419" s="61">
        <f t="shared" si="37"/>
        <v>10</v>
      </c>
      <c r="L419" s="56"/>
      <c r="M419" s="56"/>
      <c r="N419" s="56"/>
    </row>
    <row r="420" spans="1:14" s="33" customFormat="1" ht="24" customHeight="1" x14ac:dyDescent="0.25">
      <c r="A420" s="70">
        <v>34</v>
      </c>
      <c r="B420" s="49" t="s">
        <v>71</v>
      </c>
      <c r="C420" s="152"/>
      <c r="D420" s="52" t="s">
        <v>522</v>
      </c>
      <c r="E420" s="52" t="s">
        <v>523</v>
      </c>
      <c r="F420" s="52" t="s">
        <v>457</v>
      </c>
      <c r="G420" s="61">
        <v>530</v>
      </c>
      <c r="H420" s="51"/>
      <c r="I420" s="61">
        <f t="shared" si="35"/>
        <v>530</v>
      </c>
      <c r="J420" s="52">
        <v>2</v>
      </c>
      <c r="K420" s="61">
        <f t="shared" si="37"/>
        <v>1060</v>
      </c>
      <c r="L420" s="56"/>
      <c r="M420" s="56"/>
      <c r="N420" s="56"/>
    </row>
    <row r="421" spans="1:14" s="33" customFormat="1" ht="24" customHeight="1" x14ac:dyDescent="0.25">
      <c r="A421" s="70">
        <v>35</v>
      </c>
      <c r="B421" s="49" t="s">
        <v>71</v>
      </c>
      <c r="C421" s="152"/>
      <c r="D421" s="52" t="s">
        <v>524</v>
      </c>
      <c r="E421" s="52" t="s">
        <v>525</v>
      </c>
      <c r="F421" s="101" t="s">
        <v>226</v>
      </c>
      <c r="G421" s="61">
        <v>300</v>
      </c>
      <c r="H421" s="51"/>
      <c r="I421" s="61">
        <f t="shared" si="35"/>
        <v>300</v>
      </c>
      <c r="J421" s="52">
        <v>1</v>
      </c>
      <c r="K421" s="61">
        <f t="shared" si="37"/>
        <v>300</v>
      </c>
      <c r="L421" s="56"/>
      <c r="M421" s="56"/>
      <c r="N421" s="56"/>
    </row>
    <row r="422" spans="1:14" s="33" customFormat="1" ht="24" customHeight="1" x14ac:dyDescent="0.25">
      <c r="A422" s="70">
        <v>36</v>
      </c>
      <c r="B422" s="49" t="s">
        <v>71</v>
      </c>
      <c r="C422" s="152"/>
      <c r="D422" s="52" t="s">
        <v>526</v>
      </c>
      <c r="E422" s="52" t="s">
        <v>527</v>
      </c>
      <c r="F422" s="49" t="s">
        <v>226</v>
      </c>
      <c r="G422" s="61">
        <v>20</v>
      </c>
      <c r="H422" s="51"/>
      <c r="I422" s="61">
        <f t="shared" si="35"/>
        <v>20</v>
      </c>
      <c r="J422" s="52">
        <v>1</v>
      </c>
      <c r="K422" s="61">
        <f t="shared" si="37"/>
        <v>20</v>
      </c>
      <c r="L422" s="56"/>
      <c r="M422" s="56"/>
      <c r="N422" s="56"/>
    </row>
    <row r="423" spans="1:14" s="33" customFormat="1" ht="24" customHeight="1" x14ac:dyDescent="0.25">
      <c r="A423" s="70">
        <v>37</v>
      </c>
      <c r="B423" s="49" t="s">
        <v>71</v>
      </c>
      <c r="C423" s="152"/>
      <c r="D423" s="52" t="s">
        <v>528</v>
      </c>
      <c r="E423" s="52" t="s">
        <v>529</v>
      </c>
      <c r="F423" s="49" t="s">
        <v>247</v>
      </c>
      <c r="G423" s="61">
        <v>52</v>
      </c>
      <c r="H423" s="51"/>
      <c r="I423" s="61">
        <f t="shared" si="35"/>
        <v>52</v>
      </c>
      <c r="J423" s="52">
        <v>1</v>
      </c>
      <c r="K423" s="61">
        <f t="shared" si="37"/>
        <v>52</v>
      </c>
      <c r="L423" s="56"/>
      <c r="M423" s="56"/>
      <c r="N423" s="56"/>
    </row>
    <row r="424" spans="1:14" s="33" customFormat="1" ht="24" customHeight="1" x14ac:dyDescent="0.25">
      <c r="A424" s="70">
        <v>38</v>
      </c>
      <c r="B424" s="49" t="s">
        <v>71</v>
      </c>
      <c r="C424" s="152"/>
      <c r="D424" s="52" t="s">
        <v>530</v>
      </c>
      <c r="E424" s="52" t="s">
        <v>500</v>
      </c>
      <c r="F424" s="101" t="s">
        <v>231</v>
      </c>
      <c r="G424" s="61">
        <v>30</v>
      </c>
      <c r="H424" s="51"/>
      <c r="I424" s="61">
        <f t="shared" si="35"/>
        <v>30</v>
      </c>
      <c r="J424" s="52">
        <v>1</v>
      </c>
      <c r="K424" s="61">
        <f t="shared" si="37"/>
        <v>30</v>
      </c>
      <c r="L424" s="29"/>
      <c r="M424" s="29"/>
      <c r="N424" s="56"/>
    </row>
    <row r="425" spans="1:14" ht="24" customHeight="1" x14ac:dyDescent="0.25">
      <c r="A425" s="70">
        <v>39</v>
      </c>
      <c r="B425" s="49" t="s">
        <v>71</v>
      </c>
      <c r="C425" s="129" t="s">
        <v>797</v>
      </c>
      <c r="D425" s="52" t="s">
        <v>531</v>
      </c>
      <c r="E425" s="52" t="s">
        <v>532</v>
      </c>
      <c r="F425" s="101" t="s">
        <v>231</v>
      </c>
      <c r="G425" s="61">
        <v>13230</v>
      </c>
      <c r="H425" s="51"/>
      <c r="I425" s="61">
        <f t="shared" si="35"/>
        <v>13230</v>
      </c>
      <c r="J425" s="52">
        <v>1</v>
      </c>
      <c r="K425" s="61">
        <f t="shared" si="37"/>
        <v>13230</v>
      </c>
    </row>
    <row r="426" spans="1:14" ht="24" customHeight="1" x14ac:dyDescent="0.25">
      <c r="A426" s="70">
        <v>40</v>
      </c>
      <c r="B426" s="49" t="s">
        <v>71</v>
      </c>
      <c r="C426" s="129"/>
      <c r="D426" s="52" t="s">
        <v>519</v>
      </c>
      <c r="E426" s="52" t="s">
        <v>533</v>
      </c>
      <c r="F426" s="52" t="s">
        <v>457</v>
      </c>
      <c r="G426" s="61">
        <v>30</v>
      </c>
      <c r="H426" s="51"/>
      <c r="I426" s="61">
        <f t="shared" si="35"/>
        <v>30</v>
      </c>
      <c r="J426" s="52">
        <v>5</v>
      </c>
      <c r="K426" s="61">
        <f t="shared" si="37"/>
        <v>150</v>
      </c>
    </row>
    <row r="427" spans="1:14" ht="24" customHeight="1" x14ac:dyDescent="0.3">
      <c r="A427" s="70">
        <v>41</v>
      </c>
      <c r="B427" s="49" t="s">
        <v>71</v>
      </c>
      <c r="C427" s="129"/>
      <c r="D427" s="52" t="s">
        <v>534</v>
      </c>
      <c r="E427" s="106" t="s">
        <v>535</v>
      </c>
      <c r="F427" s="101" t="s">
        <v>226</v>
      </c>
      <c r="G427" s="61">
        <v>4895</v>
      </c>
      <c r="H427" s="51"/>
      <c r="I427" s="61">
        <f t="shared" si="35"/>
        <v>4895</v>
      </c>
      <c r="J427" s="52">
        <v>1</v>
      </c>
      <c r="K427" s="61">
        <f t="shared" si="37"/>
        <v>4895</v>
      </c>
    </row>
    <row r="428" spans="1:14" ht="24" customHeight="1" x14ac:dyDescent="0.25">
      <c r="A428" s="70">
        <v>42</v>
      </c>
      <c r="B428" s="49" t="s">
        <v>71</v>
      </c>
      <c r="C428" s="129"/>
      <c r="D428" s="52" t="s">
        <v>536</v>
      </c>
      <c r="E428" s="52" t="s">
        <v>516</v>
      </c>
      <c r="F428" s="52" t="s">
        <v>457</v>
      </c>
      <c r="G428" s="61">
        <v>1000</v>
      </c>
      <c r="H428" s="51"/>
      <c r="I428" s="61">
        <f t="shared" si="35"/>
        <v>1000</v>
      </c>
      <c r="J428" s="52">
        <v>1</v>
      </c>
      <c r="K428" s="61">
        <f t="shared" si="37"/>
        <v>1000</v>
      </c>
    </row>
    <row r="429" spans="1:14" ht="24" customHeight="1" x14ac:dyDescent="0.25">
      <c r="A429" s="70">
        <v>43</v>
      </c>
      <c r="B429" s="49" t="s">
        <v>71</v>
      </c>
      <c r="C429" s="129"/>
      <c r="D429" s="52" t="s">
        <v>537</v>
      </c>
      <c r="E429" s="52" t="s">
        <v>516</v>
      </c>
      <c r="F429" s="52" t="s">
        <v>457</v>
      </c>
      <c r="G429" s="61">
        <v>1000</v>
      </c>
      <c r="H429" s="51"/>
      <c r="I429" s="61">
        <f t="shared" si="35"/>
        <v>1000</v>
      </c>
      <c r="J429" s="52">
        <v>1</v>
      </c>
      <c r="K429" s="61">
        <f t="shared" si="37"/>
        <v>1000</v>
      </c>
    </row>
    <row r="430" spans="1:14" ht="24" customHeight="1" x14ac:dyDescent="0.25">
      <c r="A430" s="70">
        <v>44</v>
      </c>
      <c r="B430" s="49" t="s">
        <v>71</v>
      </c>
      <c r="C430" s="129"/>
      <c r="D430" s="52" t="s">
        <v>538</v>
      </c>
      <c r="E430" s="97" t="s">
        <v>681</v>
      </c>
      <c r="F430" s="52" t="s">
        <v>457</v>
      </c>
      <c r="G430" s="61">
        <v>5</v>
      </c>
      <c r="H430" s="51"/>
      <c r="I430" s="61">
        <f t="shared" si="35"/>
        <v>5</v>
      </c>
      <c r="J430" s="52">
        <v>1</v>
      </c>
      <c r="K430" s="61">
        <f t="shared" si="37"/>
        <v>5</v>
      </c>
    </row>
    <row r="431" spans="1:14" ht="24" customHeight="1" x14ac:dyDescent="0.3">
      <c r="A431" s="70">
        <v>45</v>
      </c>
      <c r="B431" s="49" t="s">
        <v>71</v>
      </c>
      <c r="C431" s="129"/>
      <c r="D431" s="52" t="s">
        <v>539</v>
      </c>
      <c r="E431" s="106" t="s">
        <v>540</v>
      </c>
      <c r="F431" s="52" t="s">
        <v>457</v>
      </c>
      <c r="G431" s="61">
        <v>1780</v>
      </c>
      <c r="H431" s="51"/>
      <c r="I431" s="61">
        <f t="shared" si="35"/>
        <v>1780</v>
      </c>
      <c r="J431" s="52">
        <v>1</v>
      </c>
      <c r="K431" s="61">
        <f t="shared" si="37"/>
        <v>1780</v>
      </c>
    </row>
    <row r="432" spans="1:14" ht="24" customHeight="1" x14ac:dyDescent="0.25">
      <c r="A432" s="70">
        <v>46</v>
      </c>
      <c r="B432" s="49" t="s">
        <v>71</v>
      </c>
      <c r="C432" s="129"/>
      <c r="D432" s="52" t="s">
        <v>541</v>
      </c>
      <c r="E432" s="97" t="s">
        <v>523</v>
      </c>
      <c r="F432" s="52" t="s">
        <v>457</v>
      </c>
      <c r="G432" s="61">
        <v>530</v>
      </c>
      <c r="H432" s="51"/>
      <c r="I432" s="61">
        <f t="shared" si="35"/>
        <v>530</v>
      </c>
      <c r="J432" s="52">
        <v>1</v>
      </c>
      <c r="K432" s="61">
        <f t="shared" si="37"/>
        <v>530</v>
      </c>
    </row>
    <row r="433" spans="1:11" ht="24" customHeight="1" x14ac:dyDescent="0.3">
      <c r="A433" s="70">
        <v>47</v>
      </c>
      <c r="B433" s="49" t="s">
        <v>71</v>
      </c>
      <c r="C433" s="129" t="s">
        <v>542</v>
      </c>
      <c r="D433" s="52" t="s">
        <v>794</v>
      </c>
      <c r="E433" s="106" t="s">
        <v>912</v>
      </c>
      <c r="F433" s="101" t="s">
        <v>493</v>
      </c>
      <c r="G433" s="61"/>
      <c r="H433" s="61">
        <v>12194</v>
      </c>
      <c r="I433" s="61">
        <f t="shared" si="35"/>
        <v>12194</v>
      </c>
      <c r="J433" s="52">
        <v>1</v>
      </c>
      <c r="K433" s="61">
        <f t="shared" si="37"/>
        <v>12194</v>
      </c>
    </row>
    <row r="434" spans="1:11" ht="24" customHeight="1" x14ac:dyDescent="0.3">
      <c r="A434" s="70">
        <v>48</v>
      </c>
      <c r="B434" s="49" t="s">
        <v>71</v>
      </c>
      <c r="C434" s="129"/>
      <c r="D434" s="52" t="s">
        <v>543</v>
      </c>
      <c r="E434" s="106" t="s">
        <v>544</v>
      </c>
      <c r="F434" s="101" t="s">
        <v>226</v>
      </c>
      <c r="G434" s="61">
        <v>280</v>
      </c>
      <c r="H434" s="51"/>
      <c r="I434" s="61">
        <f t="shared" si="35"/>
        <v>280</v>
      </c>
      <c r="J434" s="52">
        <v>3</v>
      </c>
      <c r="K434" s="61">
        <f t="shared" si="37"/>
        <v>840</v>
      </c>
    </row>
    <row r="435" spans="1:11" ht="24" customHeight="1" x14ac:dyDescent="0.25">
      <c r="A435" s="70">
        <v>49</v>
      </c>
      <c r="B435" s="49" t="s">
        <v>71</v>
      </c>
      <c r="C435" s="129"/>
      <c r="D435" s="52" t="s">
        <v>507</v>
      </c>
      <c r="E435" s="52" t="s">
        <v>508</v>
      </c>
      <c r="F435" s="52" t="s">
        <v>457</v>
      </c>
      <c r="G435" s="61">
        <v>100</v>
      </c>
      <c r="H435" s="51"/>
      <c r="I435" s="61">
        <f t="shared" si="35"/>
        <v>100</v>
      </c>
      <c r="J435" s="52">
        <v>4</v>
      </c>
      <c r="K435" s="61">
        <f t="shared" si="37"/>
        <v>400</v>
      </c>
    </row>
    <row r="436" spans="1:11" ht="24" customHeight="1" x14ac:dyDescent="0.25">
      <c r="A436" s="70">
        <v>50</v>
      </c>
      <c r="B436" s="49" t="s">
        <v>71</v>
      </c>
      <c r="C436" s="129"/>
      <c r="D436" s="52" t="s">
        <v>545</v>
      </c>
      <c r="E436" s="52" t="s">
        <v>535</v>
      </c>
      <c r="F436" s="52" t="s">
        <v>457</v>
      </c>
      <c r="G436" s="61">
        <v>4895</v>
      </c>
      <c r="H436" s="51"/>
      <c r="I436" s="61">
        <f t="shared" si="35"/>
        <v>4895</v>
      </c>
      <c r="J436" s="52">
        <v>1</v>
      </c>
      <c r="K436" s="61">
        <f t="shared" si="37"/>
        <v>4895</v>
      </c>
    </row>
    <row r="437" spans="1:11" ht="24" customHeight="1" x14ac:dyDescent="0.25">
      <c r="A437" s="70">
        <v>51</v>
      </c>
      <c r="B437" s="49" t="s">
        <v>71</v>
      </c>
      <c r="C437" s="129"/>
      <c r="D437" s="52" t="s">
        <v>541</v>
      </c>
      <c r="E437" s="97" t="s">
        <v>523</v>
      </c>
      <c r="F437" s="52" t="s">
        <v>457</v>
      </c>
      <c r="G437" s="61">
        <v>530</v>
      </c>
      <c r="H437" s="51"/>
      <c r="I437" s="61">
        <f t="shared" si="35"/>
        <v>530</v>
      </c>
      <c r="J437" s="52">
        <v>2</v>
      </c>
      <c r="K437" s="61">
        <f t="shared" si="37"/>
        <v>1060</v>
      </c>
    </row>
    <row r="438" spans="1:11" ht="24" customHeight="1" x14ac:dyDescent="0.25">
      <c r="A438" s="70">
        <v>52</v>
      </c>
      <c r="B438" s="49" t="s">
        <v>71</v>
      </c>
      <c r="C438" s="129"/>
      <c r="D438" s="52" t="s">
        <v>537</v>
      </c>
      <c r="E438" s="52" t="s">
        <v>516</v>
      </c>
      <c r="F438" s="52" t="s">
        <v>457</v>
      </c>
      <c r="G438" s="61">
        <v>1000</v>
      </c>
      <c r="H438" s="51"/>
      <c r="I438" s="61">
        <f t="shared" si="35"/>
        <v>1000</v>
      </c>
      <c r="J438" s="52">
        <v>2</v>
      </c>
      <c r="K438" s="61">
        <f t="shared" si="37"/>
        <v>2000</v>
      </c>
    </row>
    <row r="439" spans="1:11" ht="24" customHeight="1" x14ac:dyDescent="0.25">
      <c r="A439" s="70">
        <v>53</v>
      </c>
      <c r="B439" s="49" t="s">
        <v>71</v>
      </c>
      <c r="C439" s="129"/>
      <c r="D439" s="52" t="s">
        <v>546</v>
      </c>
      <c r="E439" s="52" t="s">
        <v>547</v>
      </c>
      <c r="F439" s="52" t="s">
        <v>457</v>
      </c>
      <c r="G439" s="61">
        <v>11320</v>
      </c>
      <c r="H439" s="51"/>
      <c r="I439" s="61">
        <f t="shared" si="35"/>
        <v>11320</v>
      </c>
      <c r="J439" s="52">
        <v>1</v>
      </c>
      <c r="K439" s="61">
        <f t="shared" si="37"/>
        <v>11320</v>
      </c>
    </row>
    <row r="440" spans="1:11" ht="24" customHeight="1" x14ac:dyDescent="0.25">
      <c r="A440" s="70">
        <v>54</v>
      </c>
      <c r="B440" s="49" t="s">
        <v>71</v>
      </c>
      <c r="C440" s="129"/>
      <c r="D440" s="52" t="s">
        <v>548</v>
      </c>
      <c r="E440" s="52" t="s">
        <v>516</v>
      </c>
      <c r="F440" s="52" t="s">
        <v>457</v>
      </c>
      <c r="G440" s="61">
        <v>1000</v>
      </c>
      <c r="H440" s="51"/>
      <c r="I440" s="61">
        <f t="shared" si="35"/>
        <v>1000</v>
      </c>
      <c r="J440" s="52">
        <v>1</v>
      </c>
      <c r="K440" s="61">
        <f t="shared" si="37"/>
        <v>1000</v>
      </c>
    </row>
    <row r="441" spans="1:11" ht="24" customHeight="1" x14ac:dyDescent="0.25">
      <c r="A441" s="70">
        <v>55</v>
      </c>
      <c r="B441" s="49" t="s">
        <v>71</v>
      </c>
      <c r="C441" s="129"/>
      <c r="D441" s="52" t="s">
        <v>549</v>
      </c>
      <c r="E441" s="52" t="s">
        <v>550</v>
      </c>
      <c r="F441" s="101" t="s">
        <v>226</v>
      </c>
      <c r="G441" s="61">
        <v>1273</v>
      </c>
      <c r="H441" s="51"/>
      <c r="I441" s="61">
        <f t="shared" si="35"/>
        <v>1273</v>
      </c>
      <c r="J441" s="52">
        <v>2</v>
      </c>
      <c r="K441" s="61">
        <f t="shared" si="37"/>
        <v>2546</v>
      </c>
    </row>
    <row r="442" spans="1:11" ht="24" customHeight="1" x14ac:dyDescent="0.25">
      <c r="A442" s="70">
        <v>56</v>
      </c>
      <c r="B442" s="49" t="s">
        <v>71</v>
      </c>
      <c r="C442" s="129"/>
      <c r="D442" s="52" t="s">
        <v>519</v>
      </c>
      <c r="E442" s="97" t="s">
        <v>520</v>
      </c>
      <c r="F442" s="52" t="s">
        <v>457</v>
      </c>
      <c r="G442" s="61">
        <v>30</v>
      </c>
      <c r="H442" s="51"/>
      <c r="I442" s="61">
        <f t="shared" si="35"/>
        <v>30</v>
      </c>
      <c r="J442" s="52">
        <v>6</v>
      </c>
      <c r="K442" s="61">
        <f t="shared" si="37"/>
        <v>180</v>
      </c>
    </row>
    <row r="443" spans="1:11" ht="24" customHeight="1" x14ac:dyDescent="0.25">
      <c r="A443" s="70">
        <v>57</v>
      </c>
      <c r="B443" s="49" t="s">
        <v>71</v>
      </c>
      <c r="C443" s="129"/>
      <c r="D443" s="52" t="s">
        <v>551</v>
      </c>
      <c r="E443" s="52" t="s">
        <v>552</v>
      </c>
      <c r="F443" s="101" t="s">
        <v>85</v>
      </c>
      <c r="G443" s="61">
        <v>770</v>
      </c>
      <c r="H443" s="51"/>
      <c r="I443" s="61">
        <f t="shared" si="35"/>
        <v>770</v>
      </c>
      <c r="J443" s="52">
        <v>3</v>
      </c>
      <c r="K443" s="61">
        <f t="shared" si="37"/>
        <v>2310</v>
      </c>
    </row>
    <row r="444" spans="1:11" ht="24" customHeight="1" x14ac:dyDescent="0.3">
      <c r="A444" s="70">
        <v>58</v>
      </c>
      <c r="B444" s="49" t="s">
        <v>71</v>
      </c>
      <c r="C444" s="129"/>
      <c r="D444" s="52" t="s">
        <v>553</v>
      </c>
      <c r="E444" s="106" t="s">
        <v>554</v>
      </c>
      <c r="F444" s="101" t="s">
        <v>457</v>
      </c>
      <c r="G444" s="61">
        <v>290</v>
      </c>
      <c r="H444" s="51"/>
      <c r="I444" s="61">
        <f t="shared" si="35"/>
        <v>290</v>
      </c>
      <c r="J444" s="52">
        <v>3</v>
      </c>
      <c r="K444" s="61">
        <f t="shared" si="37"/>
        <v>870</v>
      </c>
    </row>
    <row r="445" spans="1:11" ht="24" customHeight="1" x14ac:dyDescent="0.25">
      <c r="A445" s="70">
        <v>59</v>
      </c>
      <c r="B445" s="49" t="s">
        <v>71</v>
      </c>
      <c r="C445" s="129"/>
      <c r="D445" s="52" t="s">
        <v>555</v>
      </c>
      <c r="E445" s="97" t="s">
        <v>556</v>
      </c>
      <c r="F445" s="101" t="s">
        <v>457</v>
      </c>
      <c r="G445" s="61">
        <v>120</v>
      </c>
      <c r="H445" s="51"/>
      <c r="I445" s="61">
        <f t="shared" si="35"/>
        <v>120</v>
      </c>
      <c r="J445" s="52">
        <v>3</v>
      </c>
      <c r="K445" s="61">
        <f t="shared" si="37"/>
        <v>360</v>
      </c>
    </row>
    <row r="446" spans="1:11" ht="24" customHeight="1" x14ac:dyDescent="0.25">
      <c r="A446" s="70">
        <v>60</v>
      </c>
      <c r="B446" s="49" t="s">
        <v>71</v>
      </c>
      <c r="C446" s="129"/>
      <c r="D446" s="52" t="s">
        <v>557</v>
      </c>
      <c r="E446" s="97" t="s">
        <v>681</v>
      </c>
      <c r="F446" s="52" t="s">
        <v>457</v>
      </c>
      <c r="G446" s="61">
        <v>5</v>
      </c>
      <c r="H446" s="51"/>
      <c r="I446" s="61">
        <f t="shared" si="35"/>
        <v>5</v>
      </c>
      <c r="J446" s="52">
        <v>1</v>
      </c>
      <c r="K446" s="61">
        <f t="shared" si="37"/>
        <v>5</v>
      </c>
    </row>
    <row r="447" spans="1:11" ht="24" customHeight="1" x14ac:dyDescent="0.3">
      <c r="A447" s="70">
        <v>61</v>
      </c>
      <c r="B447" s="49" t="s">
        <v>71</v>
      </c>
      <c r="C447" s="129"/>
      <c r="D447" s="52" t="s">
        <v>558</v>
      </c>
      <c r="E447" s="106" t="s">
        <v>540</v>
      </c>
      <c r="F447" s="52" t="s">
        <v>457</v>
      </c>
      <c r="G447" s="61">
        <v>1780</v>
      </c>
      <c r="H447" s="51"/>
      <c r="I447" s="61">
        <f t="shared" si="35"/>
        <v>1780</v>
      </c>
      <c r="J447" s="52">
        <v>1</v>
      </c>
      <c r="K447" s="61">
        <f t="shared" si="37"/>
        <v>1780</v>
      </c>
    </row>
    <row r="448" spans="1:11" ht="24" customHeight="1" x14ac:dyDescent="0.25">
      <c r="A448" s="70">
        <v>62</v>
      </c>
      <c r="B448" s="49" t="s">
        <v>71</v>
      </c>
      <c r="C448" s="129"/>
      <c r="D448" s="52" t="s">
        <v>559</v>
      </c>
      <c r="E448" s="97" t="s">
        <v>560</v>
      </c>
      <c r="F448" s="101" t="s">
        <v>457</v>
      </c>
      <c r="G448" s="61">
        <v>70</v>
      </c>
      <c r="H448" s="51"/>
      <c r="I448" s="61">
        <f t="shared" si="35"/>
        <v>70</v>
      </c>
      <c r="J448" s="52">
        <v>1</v>
      </c>
      <c r="K448" s="61">
        <f t="shared" si="37"/>
        <v>70</v>
      </c>
    </row>
    <row r="449" spans="1:11" ht="24" customHeight="1" x14ac:dyDescent="0.3">
      <c r="A449" s="70">
        <v>63</v>
      </c>
      <c r="B449" s="49" t="s">
        <v>71</v>
      </c>
      <c r="C449" s="129"/>
      <c r="D449" s="52" t="s">
        <v>561</v>
      </c>
      <c r="E449" s="106" t="s">
        <v>540</v>
      </c>
      <c r="F449" s="52" t="s">
        <v>457</v>
      </c>
      <c r="G449" s="61">
        <v>1780</v>
      </c>
      <c r="H449" s="51"/>
      <c r="I449" s="61">
        <f t="shared" si="35"/>
        <v>1780</v>
      </c>
      <c r="J449" s="52">
        <v>1</v>
      </c>
      <c r="K449" s="61">
        <f t="shared" si="37"/>
        <v>1780</v>
      </c>
    </row>
    <row r="450" spans="1:11" ht="24" customHeight="1" x14ac:dyDescent="0.3">
      <c r="A450" s="70">
        <v>64</v>
      </c>
      <c r="B450" s="49" t="s">
        <v>71</v>
      </c>
      <c r="C450" s="129"/>
      <c r="D450" s="52" t="s">
        <v>512</v>
      </c>
      <c r="E450" s="106" t="s">
        <v>514</v>
      </c>
      <c r="F450" s="52" t="s">
        <v>457</v>
      </c>
      <c r="G450" s="61">
        <v>53</v>
      </c>
      <c r="H450" s="51"/>
      <c r="I450" s="61">
        <f t="shared" si="35"/>
        <v>53</v>
      </c>
      <c r="J450" s="52">
        <v>7</v>
      </c>
      <c r="K450" s="61">
        <f t="shared" si="37"/>
        <v>371</v>
      </c>
    </row>
    <row r="451" spans="1:11" ht="24" customHeight="1" x14ac:dyDescent="0.25">
      <c r="A451" s="70">
        <v>65</v>
      </c>
      <c r="B451" s="49" t="s">
        <v>71</v>
      </c>
      <c r="C451" s="129"/>
      <c r="D451" s="52" t="s">
        <v>521</v>
      </c>
      <c r="E451" s="97" t="s">
        <v>681</v>
      </c>
      <c r="F451" s="52" t="s">
        <v>457</v>
      </c>
      <c r="G451" s="61">
        <v>5</v>
      </c>
      <c r="H451" s="51"/>
      <c r="I451" s="61">
        <f t="shared" si="35"/>
        <v>5</v>
      </c>
      <c r="J451" s="52">
        <v>2</v>
      </c>
      <c r="K451" s="61">
        <f t="shared" si="37"/>
        <v>10</v>
      </c>
    </row>
    <row r="452" spans="1:11" ht="24" customHeight="1" x14ac:dyDescent="0.25">
      <c r="A452" s="70">
        <v>66</v>
      </c>
      <c r="B452" s="49" t="s">
        <v>71</v>
      </c>
      <c r="C452" s="129"/>
      <c r="D452" s="142" t="s">
        <v>562</v>
      </c>
      <c r="E452" s="52" t="s">
        <v>563</v>
      </c>
      <c r="F452" s="101" t="s">
        <v>226</v>
      </c>
      <c r="G452" s="61">
        <v>150</v>
      </c>
      <c r="H452" s="51"/>
      <c r="I452" s="61">
        <f t="shared" ref="I452:I510" si="38">SUM(G452:H452)</f>
        <v>150</v>
      </c>
      <c r="J452" s="52">
        <v>2</v>
      </c>
      <c r="K452" s="61">
        <f t="shared" si="37"/>
        <v>300</v>
      </c>
    </row>
    <row r="453" spans="1:11" ht="24" customHeight="1" x14ac:dyDescent="0.25">
      <c r="A453" s="70">
        <v>67</v>
      </c>
      <c r="B453" s="49" t="s">
        <v>71</v>
      </c>
      <c r="C453" s="129"/>
      <c r="D453" s="142"/>
      <c r="E453" s="97" t="s">
        <v>564</v>
      </c>
      <c r="F453" s="101" t="s">
        <v>226</v>
      </c>
      <c r="G453" s="61">
        <v>181</v>
      </c>
      <c r="H453" s="51"/>
      <c r="I453" s="61">
        <f t="shared" si="38"/>
        <v>181</v>
      </c>
      <c r="J453" s="52">
        <v>1</v>
      </c>
      <c r="K453" s="61">
        <f t="shared" si="37"/>
        <v>181</v>
      </c>
    </row>
    <row r="454" spans="1:11" ht="24" customHeight="1" x14ac:dyDescent="0.25">
      <c r="A454" s="70">
        <v>68</v>
      </c>
      <c r="B454" s="49" t="s">
        <v>71</v>
      </c>
      <c r="C454" s="129"/>
      <c r="D454" s="142"/>
      <c r="E454" s="97" t="s">
        <v>565</v>
      </c>
      <c r="F454" s="101" t="s">
        <v>457</v>
      </c>
      <c r="G454" s="61">
        <v>170</v>
      </c>
      <c r="H454" s="51"/>
      <c r="I454" s="61">
        <f t="shared" si="38"/>
        <v>170</v>
      </c>
      <c r="J454" s="52">
        <v>1</v>
      </c>
      <c r="K454" s="61">
        <f t="shared" si="37"/>
        <v>170</v>
      </c>
    </row>
    <row r="455" spans="1:11" ht="24" customHeight="1" x14ac:dyDescent="0.25">
      <c r="A455" s="70">
        <v>69</v>
      </c>
      <c r="B455" s="49" t="s">
        <v>71</v>
      </c>
      <c r="C455" s="129"/>
      <c r="D455" s="142"/>
      <c r="E455" s="97" t="s">
        <v>566</v>
      </c>
      <c r="F455" s="101" t="s">
        <v>226</v>
      </c>
      <c r="G455" s="61">
        <v>149</v>
      </c>
      <c r="H455" s="51"/>
      <c r="I455" s="61">
        <f t="shared" si="38"/>
        <v>149</v>
      </c>
      <c r="J455" s="52">
        <v>1</v>
      </c>
      <c r="K455" s="61">
        <f t="shared" si="37"/>
        <v>149</v>
      </c>
    </row>
    <row r="456" spans="1:11" ht="24" customHeight="1" x14ac:dyDescent="0.25">
      <c r="A456" s="70">
        <v>70</v>
      </c>
      <c r="B456" s="49" t="s">
        <v>71</v>
      </c>
      <c r="C456" s="129"/>
      <c r="D456" s="142"/>
      <c r="E456" s="97" t="s">
        <v>681</v>
      </c>
      <c r="F456" s="52" t="s">
        <v>457</v>
      </c>
      <c r="G456" s="61">
        <v>5</v>
      </c>
      <c r="H456" s="51"/>
      <c r="I456" s="61">
        <f t="shared" si="38"/>
        <v>5</v>
      </c>
      <c r="J456" s="52">
        <v>1</v>
      </c>
      <c r="K456" s="61">
        <f t="shared" si="37"/>
        <v>5</v>
      </c>
    </row>
    <row r="457" spans="1:11" ht="24" customHeight="1" x14ac:dyDescent="0.25">
      <c r="A457" s="70">
        <v>71</v>
      </c>
      <c r="B457" s="49" t="s">
        <v>71</v>
      </c>
      <c r="C457" s="129"/>
      <c r="D457" s="52" t="s">
        <v>567</v>
      </c>
      <c r="E457" s="52" t="s">
        <v>568</v>
      </c>
      <c r="F457" s="101" t="s">
        <v>226</v>
      </c>
      <c r="G457" s="61">
        <v>2335</v>
      </c>
      <c r="H457" s="51"/>
      <c r="I457" s="61">
        <f t="shared" si="38"/>
        <v>2335</v>
      </c>
      <c r="J457" s="52">
        <v>1</v>
      </c>
      <c r="K457" s="61">
        <f t="shared" si="37"/>
        <v>2335</v>
      </c>
    </row>
    <row r="458" spans="1:11" ht="24" customHeight="1" x14ac:dyDescent="0.25">
      <c r="A458" s="70">
        <v>72</v>
      </c>
      <c r="B458" s="49" t="s">
        <v>71</v>
      </c>
      <c r="C458" s="129"/>
      <c r="D458" s="52" t="s">
        <v>569</v>
      </c>
      <c r="E458" s="97" t="s">
        <v>681</v>
      </c>
      <c r="F458" s="52" t="s">
        <v>457</v>
      </c>
      <c r="G458" s="61">
        <v>5</v>
      </c>
      <c r="H458" s="51"/>
      <c r="I458" s="61">
        <f t="shared" si="38"/>
        <v>5</v>
      </c>
      <c r="J458" s="52">
        <v>1</v>
      </c>
      <c r="K458" s="61">
        <f t="shared" si="37"/>
        <v>5</v>
      </c>
    </row>
    <row r="459" spans="1:11" ht="24" customHeight="1" x14ac:dyDescent="0.25">
      <c r="A459" s="70">
        <v>73</v>
      </c>
      <c r="B459" s="49" t="s">
        <v>71</v>
      </c>
      <c r="C459" s="143" t="s">
        <v>570</v>
      </c>
      <c r="D459" s="52" t="s">
        <v>571</v>
      </c>
      <c r="E459" s="97" t="s">
        <v>520</v>
      </c>
      <c r="F459" s="52" t="s">
        <v>457</v>
      </c>
      <c r="G459" s="61">
        <v>30</v>
      </c>
      <c r="H459" s="51"/>
      <c r="I459" s="61">
        <f t="shared" si="38"/>
        <v>30</v>
      </c>
      <c r="J459" s="52">
        <v>1</v>
      </c>
      <c r="K459" s="61">
        <f t="shared" si="37"/>
        <v>30</v>
      </c>
    </row>
    <row r="460" spans="1:11" ht="24" customHeight="1" x14ac:dyDescent="0.25">
      <c r="A460" s="70">
        <v>74</v>
      </c>
      <c r="B460" s="49" t="s">
        <v>71</v>
      </c>
      <c r="C460" s="143"/>
      <c r="D460" s="52" t="s">
        <v>572</v>
      </c>
      <c r="E460" s="52" t="s">
        <v>230</v>
      </c>
      <c r="F460" s="101" t="s">
        <v>573</v>
      </c>
      <c r="G460" s="61">
        <v>4895</v>
      </c>
      <c r="H460" s="51"/>
      <c r="I460" s="61">
        <f t="shared" si="38"/>
        <v>4895</v>
      </c>
      <c r="J460" s="52">
        <v>1</v>
      </c>
      <c r="K460" s="61">
        <f t="shared" si="37"/>
        <v>4895</v>
      </c>
    </row>
    <row r="461" spans="1:11" ht="24" customHeight="1" x14ac:dyDescent="0.25">
      <c r="A461" s="70">
        <v>75</v>
      </c>
      <c r="B461" s="49" t="s">
        <v>71</v>
      </c>
      <c r="C461" s="143"/>
      <c r="D461" s="52" t="s">
        <v>574</v>
      </c>
      <c r="E461" s="52" t="s">
        <v>552</v>
      </c>
      <c r="F461" s="101" t="s">
        <v>85</v>
      </c>
      <c r="G461" s="61">
        <v>770</v>
      </c>
      <c r="H461" s="51"/>
      <c r="I461" s="61">
        <f t="shared" si="38"/>
        <v>770</v>
      </c>
      <c r="J461" s="52">
        <v>1</v>
      </c>
      <c r="K461" s="61">
        <f t="shared" si="37"/>
        <v>770</v>
      </c>
    </row>
    <row r="462" spans="1:11" ht="24" customHeight="1" x14ac:dyDescent="0.25">
      <c r="A462" s="70">
        <v>76</v>
      </c>
      <c r="B462" s="49" t="s">
        <v>71</v>
      </c>
      <c r="C462" s="143"/>
      <c r="D462" s="52" t="s">
        <v>575</v>
      </c>
      <c r="E462" s="52" t="s">
        <v>516</v>
      </c>
      <c r="F462" s="52" t="s">
        <v>457</v>
      </c>
      <c r="G462" s="61">
        <v>1000</v>
      </c>
      <c r="H462" s="51"/>
      <c r="I462" s="61">
        <f t="shared" si="38"/>
        <v>1000</v>
      </c>
      <c r="J462" s="52">
        <v>1</v>
      </c>
      <c r="K462" s="61">
        <f t="shared" si="37"/>
        <v>1000</v>
      </c>
    </row>
    <row r="463" spans="1:11" ht="24" customHeight="1" x14ac:dyDescent="0.25">
      <c r="A463" s="70">
        <v>77</v>
      </c>
      <c r="B463" s="49" t="s">
        <v>71</v>
      </c>
      <c r="C463" s="143"/>
      <c r="D463" s="52" t="s">
        <v>539</v>
      </c>
      <c r="E463" s="97" t="s">
        <v>576</v>
      </c>
      <c r="F463" s="101" t="s">
        <v>457</v>
      </c>
      <c r="G463" s="61">
        <v>1780</v>
      </c>
      <c r="H463" s="51"/>
      <c r="I463" s="61">
        <f t="shared" si="38"/>
        <v>1780</v>
      </c>
      <c r="J463" s="52">
        <v>1</v>
      </c>
      <c r="K463" s="61">
        <f t="shared" si="37"/>
        <v>1780</v>
      </c>
    </row>
    <row r="464" spans="1:11" ht="24" customHeight="1" x14ac:dyDescent="0.3">
      <c r="A464" s="70">
        <v>78</v>
      </c>
      <c r="B464" s="49" t="s">
        <v>71</v>
      </c>
      <c r="C464" s="143"/>
      <c r="D464" s="52" t="s">
        <v>538</v>
      </c>
      <c r="E464" s="106" t="s">
        <v>577</v>
      </c>
      <c r="F464" s="101" t="s">
        <v>247</v>
      </c>
      <c r="G464" s="61">
        <v>149</v>
      </c>
      <c r="H464" s="51"/>
      <c r="I464" s="61">
        <f t="shared" si="38"/>
        <v>149</v>
      </c>
      <c r="J464" s="52">
        <v>1</v>
      </c>
      <c r="K464" s="61">
        <f t="shared" si="37"/>
        <v>149</v>
      </c>
    </row>
    <row r="465" spans="1:14" ht="24" customHeight="1" x14ac:dyDescent="0.25">
      <c r="A465" s="70">
        <v>79</v>
      </c>
      <c r="B465" s="49" t="s">
        <v>71</v>
      </c>
      <c r="C465" s="143"/>
      <c r="D465" s="52" t="s">
        <v>578</v>
      </c>
      <c r="E465" s="97" t="s">
        <v>523</v>
      </c>
      <c r="F465" s="52" t="s">
        <v>457</v>
      </c>
      <c r="G465" s="61">
        <v>530</v>
      </c>
      <c r="H465" s="51"/>
      <c r="I465" s="61">
        <f t="shared" si="38"/>
        <v>530</v>
      </c>
      <c r="J465" s="52">
        <v>1</v>
      </c>
      <c r="K465" s="61">
        <f t="shared" si="37"/>
        <v>530</v>
      </c>
    </row>
    <row r="466" spans="1:14" ht="24" customHeight="1" x14ac:dyDescent="0.25">
      <c r="A466" s="70">
        <v>80</v>
      </c>
      <c r="B466" s="49" t="s">
        <v>71</v>
      </c>
      <c r="C466" s="143"/>
      <c r="D466" s="52" t="s">
        <v>579</v>
      </c>
      <c r="E466" s="52" t="s">
        <v>508</v>
      </c>
      <c r="F466" s="52" t="s">
        <v>231</v>
      </c>
      <c r="G466" s="61">
        <v>100</v>
      </c>
      <c r="H466" s="51"/>
      <c r="I466" s="61">
        <f t="shared" si="38"/>
        <v>100</v>
      </c>
      <c r="J466" s="52">
        <v>2</v>
      </c>
      <c r="K466" s="61">
        <f t="shared" si="37"/>
        <v>200</v>
      </c>
    </row>
    <row r="467" spans="1:14" ht="24" customHeight="1" x14ac:dyDescent="0.25">
      <c r="A467" s="70">
        <v>81</v>
      </c>
      <c r="B467" s="79" t="s">
        <v>71</v>
      </c>
      <c r="C467" s="143"/>
      <c r="D467" s="52" t="s">
        <v>512</v>
      </c>
      <c r="E467" s="97" t="s">
        <v>580</v>
      </c>
      <c r="F467" s="101" t="s">
        <v>457</v>
      </c>
      <c r="G467" s="61">
        <v>170</v>
      </c>
      <c r="H467" s="51"/>
      <c r="I467" s="61">
        <f t="shared" si="38"/>
        <v>170</v>
      </c>
      <c r="J467" s="52">
        <v>2</v>
      </c>
      <c r="K467" s="61">
        <f t="shared" ref="K467:K511" si="39">I467*J467</f>
        <v>340</v>
      </c>
      <c r="L467" s="54"/>
      <c r="M467" s="54"/>
      <c r="N467" s="54"/>
    </row>
    <row r="468" spans="1:14" ht="24" customHeight="1" x14ac:dyDescent="0.25">
      <c r="A468" s="70">
        <v>82</v>
      </c>
      <c r="B468" s="79" t="s">
        <v>71</v>
      </c>
      <c r="C468" s="143"/>
      <c r="D468" s="52" t="s">
        <v>521</v>
      </c>
      <c r="E468" s="97" t="s">
        <v>681</v>
      </c>
      <c r="F468" s="52" t="s">
        <v>457</v>
      </c>
      <c r="G468" s="61">
        <v>5</v>
      </c>
      <c r="H468" s="51"/>
      <c r="I468" s="61">
        <f t="shared" si="38"/>
        <v>5</v>
      </c>
      <c r="J468" s="52">
        <v>1</v>
      </c>
      <c r="K468" s="61">
        <f t="shared" si="39"/>
        <v>5</v>
      </c>
      <c r="L468" s="54"/>
      <c r="M468" s="54"/>
      <c r="N468" s="54"/>
    </row>
    <row r="469" spans="1:14" ht="24" customHeight="1" x14ac:dyDescent="0.25">
      <c r="A469" s="70">
        <v>83</v>
      </c>
      <c r="B469" s="79" t="s">
        <v>71</v>
      </c>
      <c r="C469" s="143"/>
      <c r="D469" s="52" t="s">
        <v>581</v>
      </c>
      <c r="E469" s="52" t="s">
        <v>516</v>
      </c>
      <c r="F469" s="52" t="s">
        <v>457</v>
      </c>
      <c r="G469" s="61">
        <v>1000</v>
      </c>
      <c r="H469" s="51"/>
      <c r="I469" s="61">
        <f t="shared" si="38"/>
        <v>1000</v>
      </c>
      <c r="J469" s="52">
        <v>1</v>
      </c>
      <c r="K469" s="61">
        <f t="shared" si="39"/>
        <v>1000</v>
      </c>
      <c r="L469" s="54"/>
      <c r="M469" s="54"/>
      <c r="N469" s="54"/>
    </row>
    <row r="470" spans="1:14" ht="24" customHeight="1" x14ac:dyDescent="0.25">
      <c r="A470" s="70">
        <v>84</v>
      </c>
      <c r="B470" s="79" t="s">
        <v>71</v>
      </c>
      <c r="C470" s="143"/>
      <c r="D470" s="52" t="s">
        <v>539</v>
      </c>
      <c r="E470" s="97" t="s">
        <v>576</v>
      </c>
      <c r="F470" s="101" t="s">
        <v>457</v>
      </c>
      <c r="G470" s="61">
        <v>1780</v>
      </c>
      <c r="H470" s="51"/>
      <c r="I470" s="61">
        <f t="shared" si="38"/>
        <v>1780</v>
      </c>
      <c r="J470" s="52">
        <v>1</v>
      </c>
      <c r="K470" s="61">
        <f t="shared" si="39"/>
        <v>1780</v>
      </c>
      <c r="L470" s="54"/>
      <c r="M470" s="54"/>
      <c r="N470" s="54"/>
    </row>
    <row r="471" spans="1:14" ht="24" customHeight="1" x14ac:dyDescent="0.3">
      <c r="A471" s="70">
        <v>85</v>
      </c>
      <c r="B471" s="79" t="s">
        <v>71</v>
      </c>
      <c r="C471" s="143"/>
      <c r="D471" s="52" t="s">
        <v>538</v>
      </c>
      <c r="E471" s="106" t="s">
        <v>514</v>
      </c>
      <c r="F471" s="101" t="s">
        <v>247</v>
      </c>
      <c r="G471" s="61">
        <v>53</v>
      </c>
      <c r="H471" s="51"/>
      <c r="I471" s="61">
        <f t="shared" si="38"/>
        <v>53</v>
      </c>
      <c r="J471" s="52">
        <v>1</v>
      </c>
      <c r="K471" s="61">
        <f t="shared" si="39"/>
        <v>53</v>
      </c>
      <c r="L471" s="54"/>
      <c r="M471" s="54"/>
      <c r="N471" s="54"/>
    </row>
    <row r="472" spans="1:14" ht="24" customHeight="1" x14ac:dyDescent="0.25">
      <c r="A472" s="70">
        <v>86</v>
      </c>
      <c r="B472" s="79" t="s">
        <v>71</v>
      </c>
      <c r="C472" s="143"/>
      <c r="D472" s="52" t="s">
        <v>578</v>
      </c>
      <c r="E472" s="97" t="s">
        <v>523</v>
      </c>
      <c r="F472" s="52" t="s">
        <v>457</v>
      </c>
      <c r="G472" s="61">
        <v>530</v>
      </c>
      <c r="H472" s="51"/>
      <c r="I472" s="61">
        <f t="shared" si="38"/>
        <v>530</v>
      </c>
      <c r="J472" s="52">
        <v>1</v>
      </c>
      <c r="K472" s="61">
        <f t="shared" si="39"/>
        <v>530</v>
      </c>
      <c r="L472" s="54"/>
      <c r="M472" s="54"/>
      <c r="N472" s="54"/>
    </row>
    <row r="473" spans="1:14" ht="24" customHeight="1" x14ac:dyDescent="0.3">
      <c r="A473" s="70">
        <v>87</v>
      </c>
      <c r="B473" s="79" t="s">
        <v>71</v>
      </c>
      <c r="C473" s="143" t="s">
        <v>582</v>
      </c>
      <c r="D473" s="52" t="s">
        <v>543</v>
      </c>
      <c r="E473" s="106" t="s">
        <v>544</v>
      </c>
      <c r="F473" s="101" t="s">
        <v>226</v>
      </c>
      <c r="G473" s="61">
        <v>280</v>
      </c>
      <c r="H473" s="51"/>
      <c r="I473" s="61">
        <f t="shared" si="38"/>
        <v>280</v>
      </c>
      <c r="J473" s="52">
        <v>1</v>
      </c>
      <c r="K473" s="61">
        <f t="shared" si="39"/>
        <v>280</v>
      </c>
      <c r="L473" s="54"/>
      <c r="M473" s="54"/>
      <c r="N473" s="54"/>
    </row>
    <row r="474" spans="1:14" ht="24" customHeight="1" x14ac:dyDescent="0.25">
      <c r="A474" s="70">
        <v>88</v>
      </c>
      <c r="B474" s="79" t="s">
        <v>71</v>
      </c>
      <c r="C474" s="143"/>
      <c r="D474" s="142" t="s">
        <v>562</v>
      </c>
      <c r="E474" s="97" t="s">
        <v>681</v>
      </c>
      <c r="F474" s="52" t="s">
        <v>457</v>
      </c>
      <c r="G474" s="61">
        <v>5</v>
      </c>
      <c r="H474" s="51"/>
      <c r="I474" s="61">
        <f t="shared" si="38"/>
        <v>5</v>
      </c>
      <c r="J474" s="52">
        <v>2</v>
      </c>
      <c r="K474" s="61">
        <f t="shared" si="39"/>
        <v>10</v>
      </c>
      <c r="L474" s="54"/>
      <c r="M474" s="54"/>
      <c r="N474" s="54"/>
    </row>
    <row r="475" spans="1:14" ht="24" customHeight="1" x14ac:dyDescent="0.25">
      <c r="A475" s="70">
        <v>89</v>
      </c>
      <c r="B475" s="79" t="s">
        <v>71</v>
      </c>
      <c r="C475" s="143"/>
      <c r="D475" s="142"/>
      <c r="E475" s="97" t="s">
        <v>566</v>
      </c>
      <c r="F475" s="101" t="s">
        <v>226</v>
      </c>
      <c r="G475" s="61">
        <v>149</v>
      </c>
      <c r="H475" s="51"/>
      <c r="I475" s="61">
        <f t="shared" si="38"/>
        <v>149</v>
      </c>
      <c r="J475" s="52">
        <v>2</v>
      </c>
      <c r="K475" s="61">
        <f t="shared" si="39"/>
        <v>298</v>
      </c>
      <c r="L475" s="54"/>
      <c r="M475" s="54"/>
      <c r="N475" s="54"/>
    </row>
    <row r="476" spans="1:14" ht="24" customHeight="1" x14ac:dyDescent="0.25">
      <c r="A476" s="70">
        <v>90</v>
      </c>
      <c r="B476" s="79" t="s">
        <v>71</v>
      </c>
      <c r="C476" s="143"/>
      <c r="D476" s="52" t="s">
        <v>93</v>
      </c>
      <c r="E476" s="52" t="s">
        <v>508</v>
      </c>
      <c r="F476" s="52" t="s">
        <v>231</v>
      </c>
      <c r="G476" s="61">
        <v>100</v>
      </c>
      <c r="H476" s="51"/>
      <c r="I476" s="61">
        <f t="shared" si="38"/>
        <v>100</v>
      </c>
      <c r="J476" s="52">
        <v>2</v>
      </c>
      <c r="K476" s="61">
        <f t="shared" si="39"/>
        <v>200</v>
      </c>
      <c r="L476" s="54"/>
      <c r="M476" s="54"/>
      <c r="N476" s="54"/>
    </row>
    <row r="477" spans="1:14" ht="24" customHeight="1" x14ac:dyDescent="0.25">
      <c r="A477" s="70">
        <v>91</v>
      </c>
      <c r="B477" s="79" t="s">
        <v>71</v>
      </c>
      <c r="C477" s="143"/>
      <c r="D477" s="52" t="s">
        <v>512</v>
      </c>
      <c r="E477" s="97" t="s">
        <v>580</v>
      </c>
      <c r="F477" s="101" t="s">
        <v>457</v>
      </c>
      <c r="G477" s="61">
        <v>170</v>
      </c>
      <c r="H477" s="51"/>
      <c r="I477" s="61">
        <f t="shared" si="38"/>
        <v>170</v>
      </c>
      <c r="J477" s="52">
        <v>2</v>
      </c>
      <c r="K477" s="61">
        <f t="shared" si="39"/>
        <v>340</v>
      </c>
      <c r="L477" s="54"/>
      <c r="M477" s="54"/>
      <c r="N477" s="54"/>
    </row>
    <row r="478" spans="1:14" ht="24" customHeight="1" x14ac:dyDescent="0.25">
      <c r="A478" s="70">
        <v>92</v>
      </c>
      <c r="B478" s="79" t="s">
        <v>71</v>
      </c>
      <c r="C478" s="143"/>
      <c r="D478" s="52" t="s">
        <v>521</v>
      </c>
      <c r="E478" s="97" t="s">
        <v>681</v>
      </c>
      <c r="F478" s="52" t="s">
        <v>457</v>
      </c>
      <c r="G478" s="61">
        <v>5</v>
      </c>
      <c r="H478" s="51"/>
      <c r="I478" s="61">
        <f t="shared" si="38"/>
        <v>5</v>
      </c>
      <c r="J478" s="52">
        <v>2</v>
      </c>
      <c r="K478" s="61">
        <f t="shared" si="39"/>
        <v>10</v>
      </c>
      <c r="L478" s="54"/>
      <c r="M478" s="54"/>
      <c r="N478" s="54"/>
    </row>
    <row r="479" spans="1:14" ht="24" customHeight="1" x14ac:dyDescent="0.25">
      <c r="A479" s="70">
        <v>93</v>
      </c>
      <c r="B479" s="79" t="s">
        <v>71</v>
      </c>
      <c r="C479" s="143"/>
      <c r="D479" s="101" t="s">
        <v>583</v>
      </c>
      <c r="E479" s="52" t="s">
        <v>552</v>
      </c>
      <c r="F479" s="101" t="s">
        <v>85</v>
      </c>
      <c r="G479" s="61">
        <v>770</v>
      </c>
      <c r="H479" s="51"/>
      <c r="I479" s="61">
        <f t="shared" si="38"/>
        <v>770</v>
      </c>
      <c r="J479" s="52">
        <v>1</v>
      </c>
      <c r="K479" s="61">
        <f t="shared" si="39"/>
        <v>770</v>
      </c>
      <c r="L479" s="54"/>
      <c r="M479" s="54"/>
      <c r="N479" s="54"/>
    </row>
    <row r="480" spans="1:14" ht="24" customHeight="1" x14ac:dyDescent="0.25">
      <c r="A480" s="70">
        <v>94</v>
      </c>
      <c r="B480" s="79" t="s">
        <v>71</v>
      </c>
      <c r="C480" s="143"/>
      <c r="D480" s="101" t="s">
        <v>584</v>
      </c>
      <c r="E480" s="52" t="s">
        <v>585</v>
      </c>
      <c r="F480" s="101" t="s">
        <v>457</v>
      </c>
      <c r="G480" s="61">
        <v>1210</v>
      </c>
      <c r="H480" s="51"/>
      <c r="I480" s="61">
        <f t="shared" si="38"/>
        <v>1210</v>
      </c>
      <c r="J480" s="52">
        <v>1</v>
      </c>
      <c r="K480" s="61">
        <f t="shared" si="39"/>
        <v>1210</v>
      </c>
      <c r="L480" s="54"/>
      <c r="M480" s="54"/>
      <c r="N480" s="54"/>
    </row>
    <row r="481" spans="1:14" ht="24" customHeight="1" x14ac:dyDescent="0.25">
      <c r="A481" s="70">
        <v>95</v>
      </c>
      <c r="B481" s="79" t="s">
        <v>71</v>
      </c>
      <c r="C481" s="129" t="s">
        <v>586</v>
      </c>
      <c r="D481" s="52" t="s">
        <v>799</v>
      </c>
      <c r="E481" s="97" t="s">
        <v>913</v>
      </c>
      <c r="F481" s="97" t="s">
        <v>493</v>
      </c>
      <c r="G481" s="61"/>
      <c r="H481" s="61">
        <v>12194</v>
      </c>
      <c r="I481" s="61">
        <f t="shared" si="38"/>
        <v>12194</v>
      </c>
      <c r="J481" s="52">
        <v>1</v>
      </c>
      <c r="K481" s="61">
        <f t="shared" si="39"/>
        <v>12194</v>
      </c>
      <c r="L481" s="54"/>
      <c r="M481" s="54"/>
      <c r="N481" s="54"/>
    </row>
    <row r="482" spans="1:14" ht="24" customHeight="1" x14ac:dyDescent="0.25">
      <c r="A482" s="70">
        <v>96</v>
      </c>
      <c r="B482" s="79" t="s">
        <v>71</v>
      </c>
      <c r="C482" s="129"/>
      <c r="D482" s="52" t="s">
        <v>587</v>
      </c>
      <c r="E482" s="52" t="s">
        <v>516</v>
      </c>
      <c r="F482" s="52" t="s">
        <v>457</v>
      </c>
      <c r="G482" s="61">
        <v>1000</v>
      </c>
      <c r="H482" s="51"/>
      <c r="I482" s="61">
        <f t="shared" si="38"/>
        <v>1000</v>
      </c>
      <c r="J482" s="52">
        <v>5</v>
      </c>
      <c r="K482" s="61">
        <f t="shared" si="39"/>
        <v>5000</v>
      </c>
      <c r="L482" s="54"/>
      <c r="M482" s="54"/>
      <c r="N482" s="54"/>
    </row>
    <row r="483" spans="1:14" ht="24" customHeight="1" x14ac:dyDescent="0.25">
      <c r="A483" s="70">
        <v>97</v>
      </c>
      <c r="B483" s="79" t="s">
        <v>71</v>
      </c>
      <c r="C483" s="129"/>
      <c r="D483" s="52" t="s">
        <v>588</v>
      </c>
      <c r="E483" s="97" t="s">
        <v>523</v>
      </c>
      <c r="F483" s="52" t="s">
        <v>457</v>
      </c>
      <c r="G483" s="61">
        <v>530</v>
      </c>
      <c r="H483" s="51"/>
      <c r="I483" s="61">
        <f t="shared" si="38"/>
        <v>530</v>
      </c>
      <c r="J483" s="52">
        <v>1</v>
      </c>
      <c r="K483" s="61">
        <f t="shared" si="39"/>
        <v>530</v>
      </c>
      <c r="L483" s="54"/>
      <c r="M483" s="54"/>
      <c r="N483" s="54"/>
    </row>
    <row r="484" spans="1:14" ht="24" customHeight="1" x14ac:dyDescent="0.25">
      <c r="A484" s="70">
        <v>98</v>
      </c>
      <c r="B484" s="79" t="s">
        <v>71</v>
      </c>
      <c r="C484" s="129"/>
      <c r="D484" s="52" t="s">
        <v>521</v>
      </c>
      <c r="E484" s="97" t="s">
        <v>681</v>
      </c>
      <c r="F484" s="52" t="s">
        <v>457</v>
      </c>
      <c r="G484" s="61">
        <v>5</v>
      </c>
      <c r="H484" s="51"/>
      <c r="I484" s="61">
        <f t="shared" si="38"/>
        <v>5</v>
      </c>
      <c r="J484" s="52">
        <v>2</v>
      </c>
      <c r="K484" s="61">
        <f t="shared" si="39"/>
        <v>10</v>
      </c>
      <c r="L484" s="54"/>
      <c r="M484" s="54"/>
      <c r="N484" s="54"/>
    </row>
    <row r="485" spans="1:14" ht="24" customHeight="1" x14ac:dyDescent="0.25">
      <c r="A485" s="70">
        <v>99</v>
      </c>
      <c r="B485" s="79" t="s">
        <v>71</v>
      </c>
      <c r="C485" s="129"/>
      <c r="D485" s="52" t="s">
        <v>546</v>
      </c>
      <c r="E485" s="52" t="s">
        <v>547</v>
      </c>
      <c r="F485" s="52" t="s">
        <v>457</v>
      </c>
      <c r="G485" s="61">
        <v>11320</v>
      </c>
      <c r="H485" s="51"/>
      <c r="I485" s="61">
        <f t="shared" si="38"/>
        <v>11320</v>
      </c>
      <c r="J485" s="52">
        <v>4</v>
      </c>
      <c r="K485" s="61">
        <f t="shared" si="39"/>
        <v>45280</v>
      </c>
      <c r="L485" s="54"/>
      <c r="M485" s="54"/>
      <c r="N485" s="54"/>
    </row>
    <row r="486" spans="1:14" ht="24" customHeight="1" x14ac:dyDescent="0.25">
      <c r="A486" s="70">
        <v>100</v>
      </c>
      <c r="B486" s="79" t="s">
        <v>71</v>
      </c>
      <c r="C486" s="129"/>
      <c r="D486" s="52" t="s">
        <v>589</v>
      </c>
      <c r="E486" s="97" t="s">
        <v>523</v>
      </c>
      <c r="F486" s="52" t="s">
        <v>457</v>
      </c>
      <c r="G486" s="61">
        <v>530</v>
      </c>
      <c r="H486" s="51"/>
      <c r="I486" s="61">
        <f t="shared" si="38"/>
        <v>530</v>
      </c>
      <c r="J486" s="52">
        <v>2</v>
      </c>
      <c r="K486" s="61">
        <f t="shared" si="39"/>
        <v>1060</v>
      </c>
      <c r="L486" s="54"/>
      <c r="M486" s="54"/>
      <c r="N486" s="54"/>
    </row>
    <row r="487" spans="1:14" ht="24" customHeight="1" x14ac:dyDescent="0.25">
      <c r="A487" s="70">
        <v>101</v>
      </c>
      <c r="B487" s="79" t="s">
        <v>71</v>
      </c>
      <c r="C487" s="129"/>
      <c r="D487" s="52" t="s">
        <v>590</v>
      </c>
      <c r="E487" s="52" t="s">
        <v>585</v>
      </c>
      <c r="F487" s="101" t="s">
        <v>457</v>
      </c>
      <c r="G487" s="61">
        <v>1210</v>
      </c>
      <c r="H487" s="51"/>
      <c r="I487" s="61">
        <f t="shared" si="38"/>
        <v>1210</v>
      </c>
      <c r="J487" s="52">
        <v>1</v>
      </c>
      <c r="K487" s="61">
        <f t="shared" si="39"/>
        <v>1210</v>
      </c>
      <c r="L487" s="54"/>
      <c r="M487" s="54"/>
      <c r="N487" s="54"/>
    </row>
    <row r="488" spans="1:14" ht="24" customHeight="1" x14ac:dyDescent="0.25">
      <c r="A488" s="70">
        <v>102</v>
      </c>
      <c r="B488" s="79" t="s">
        <v>71</v>
      </c>
      <c r="C488" s="129"/>
      <c r="D488" s="52" t="s">
        <v>591</v>
      </c>
      <c r="E488" s="52" t="s">
        <v>552</v>
      </c>
      <c r="F488" s="101" t="s">
        <v>85</v>
      </c>
      <c r="G488" s="61">
        <v>770</v>
      </c>
      <c r="H488" s="51"/>
      <c r="I488" s="61">
        <f t="shared" si="38"/>
        <v>770</v>
      </c>
      <c r="J488" s="52">
        <v>1</v>
      </c>
      <c r="K488" s="61">
        <f t="shared" si="39"/>
        <v>770</v>
      </c>
      <c r="L488" s="54"/>
      <c r="M488" s="54"/>
      <c r="N488" s="54"/>
    </row>
    <row r="489" spans="1:14" ht="24" customHeight="1" x14ac:dyDescent="0.25">
      <c r="A489" s="70">
        <v>103</v>
      </c>
      <c r="B489" s="79" t="s">
        <v>71</v>
      </c>
      <c r="C489" s="129"/>
      <c r="D489" s="52" t="s">
        <v>521</v>
      </c>
      <c r="E489" s="97" t="s">
        <v>592</v>
      </c>
      <c r="F489" s="101" t="s">
        <v>247</v>
      </c>
      <c r="G489" s="61">
        <v>42</v>
      </c>
      <c r="H489" s="51"/>
      <c r="I489" s="61">
        <f t="shared" si="38"/>
        <v>42</v>
      </c>
      <c r="J489" s="52">
        <v>1</v>
      </c>
      <c r="K489" s="61">
        <f t="shared" si="39"/>
        <v>42</v>
      </c>
      <c r="L489" s="54"/>
      <c r="M489" s="54"/>
      <c r="N489" s="54"/>
    </row>
    <row r="490" spans="1:14" ht="24" customHeight="1" x14ac:dyDescent="0.25">
      <c r="A490" s="70">
        <v>104</v>
      </c>
      <c r="B490" s="79" t="s">
        <v>71</v>
      </c>
      <c r="C490" s="129"/>
      <c r="D490" s="52" t="s">
        <v>593</v>
      </c>
      <c r="E490" s="52" t="s">
        <v>516</v>
      </c>
      <c r="F490" s="52" t="s">
        <v>457</v>
      </c>
      <c r="G490" s="61">
        <v>1000</v>
      </c>
      <c r="H490" s="51"/>
      <c r="I490" s="61">
        <f t="shared" si="38"/>
        <v>1000</v>
      </c>
      <c r="J490" s="52">
        <v>1</v>
      </c>
      <c r="K490" s="61">
        <f t="shared" si="39"/>
        <v>1000</v>
      </c>
      <c r="L490" s="54"/>
      <c r="M490" s="54"/>
      <c r="N490" s="54"/>
    </row>
    <row r="491" spans="1:14" ht="24" customHeight="1" x14ac:dyDescent="0.3">
      <c r="A491" s="70">
        <v>105</v>
      </c>
      <c r="B491" s="79" t="s">
        <v>71</v>
      </c>
      <c r="C491" s="129"/>
      <c r="D491" s="101" t="s">
        <v>594</v>
      </c>
      <c r="E491" s="106" t="s">
        <v>595</v>
      </c>
      <c r="F491" s="101" t="s">
        <v>226</v>
      </c>
      <c r="G491" s="61">
        <v>2664</v>
      </c>
      <c r="H491" s="51"/>
      <c r="I491" s="61">
        <f t="shared" si="38"/>
        <v>2664</v>
      </c>
      <c r="J491" s="52">
        <v>1</v>
      </c>
      <c r="K491" s="61">
        <f t="shared" si="39"/>
        <v>2664</v>
      </c>
      <c r="L491" s="54"/>
      <c r="M491" s="54"/>
      <c r="N491" s="54"/>
    </row>
    <row r="492" spans="1:14" ht="24" customHeight="1" x14ac:dyDescent="0.3">
      <c r="A492" s="70">
        <v>106</v>
      </c>
      <c r="B492" s="79" t="s">
        <v>71</v>
      </c>
      <c r="C492" s="129"/>
      <c r="D492" s="52" t="s">
        <v>553</v>
      </c>
      <c r="E492" s="106" t="s">
        <v>554</v>
      </c>
      <c r="F492" s="101" t="s">
        <v>457</v>
      </c>
      <c r="G492" s="61">
        <v>290</v>
      </c>
      <c r="H492" s="51"/>
      <c r="I492" s="61">
        <f t="shared" si="38"/>
        <v>290</v>
      </c>
      <c r="J492" s="52">
        <v>1</v>
      </c>
      <c r="K492" s="61">
        <f t="shared" si="39"/>
        <v>290</v>
      </c>
      <c r="L492" s="54"/>
      <c r="M492" s="54"/>
      <c r="N492" s="54"/>
    </row>
    <row r="493" spans="1:14" ht="24" customHeight="1" x14ac:dyDescent="0.25">
      <c r="A493" s="70">
        <v>107</v>
      </c>
      <c r="B493" s="79" t="s">
        <v>71</v>
      </c>
      <c r="C493" s="129"/>
      <c r="D493" s="52" t="s">
        <v>555</v>
      </c>
      <c r="E493" s="97" t="s">
        <v>556</v>
      </c>
      <c r="F493" s="101" t="s">
        <v>457</v>
      </c>
      <c r="G493" s="61">
        <v>120</v>
      </c>
      <c r="H493" s="51"/>
      <c r="I493" s="61">
        <f t="shared" si="38"/>
        <v>120</v>
      </c>
      <c r="J493" s="52">
        <v>1</v>
      </c>
      <c r="K493" s="61">
        <f t="shared" si="39"/>
        <v>120</v>
      </c>
      <c r="L493" s="54"/>
      <c r="M493" s="54"/>
      <c r="N493" s="54"/>
    </row>
    <row r="494" spans="1:14" ht="24" customHeight="1" x14ac:dyDescent="0.25">
      <c r="A494" s="70">
        <v>108</v>
      </c>
      <c r="B494" s="79" t="s">
        <v>71</v>
      </c>
      <c r="C494" s="129"/>
      <c r="D494" s="52" t="s">
        <v>596</v>
      </c>
      <c r="E494" s="97" t="s">
        <v>597</v>
      </c>
      <c r="F494" s="101" t="s">
        <v>457</v>
      </c>
      <c r="G494" s="61">
        <v>160</v>
      </c>
      <c r="H494" s="51"/>
      <c r="I494" s="61">
        <f t="shared" si="38"/>
        <v>160</v>
      </c>
      <c r="J494" s="52">
        <v>3</v>
      </c>
      <c r="K494" s="61">
        <f t="shared" si="39"/>
        <v>480</v>
      </c>
      <c r="L494" s="54"/>
      <c r="M494" s="54"/>
      <c r="N494" s="54"/>
    </row>
    <row r="495" spans="1:14" ht="24" customHeight="1" x14ac:dyDescent="0.25">
      <c r="A495" s="70">
        <v>109</v>
      </c>
      <c r="B495" s="79" t="s">
        <v>71</v>
      </c>
      <c r="C495" s="129"/>
      <c r="D495" s="142" t="s">
        <v>562</v>
      </c>
      <c r="E495" s="97" t="s">
        <v>580</v>
      </c>
      <c r="F495" s="101" t="s">
        <v>457</v>
      </c>
      <c r="G495" s="61">
        <v>170</v>
      </c>
      <c r="H495" s="51"/>
      <c r="I495" s="61">
        <f t="shared" si="38"/>
        <v>170</v>
      </c>
      <c r="J495" s="52">
        <v>1</v>
      </c>
      <c r="K495" s="61">
        <f t="shared" si="39"/>
        <v>170</v>
      </c>
      <c r="L495" s="54"/>
      <c r="M495" s="54"/>
      <c r="N495" s="54"/>
    </row>
    <row r="496" spans="1:14" ht="24" customHeight="1" x14ac:dyDescent="0.25">
      <c r="A496" s="70">
        <v>110</v>
      </c>
      <c r="B496" s="79" t="s">
        <v>71</v>
      </c>
      <c r="C496" s="129"/>
      <c r="D496" s="142"/>
      <c r="E496" s="97" t="s">
        <v>681</v>
      </c>
      <c r="F496" s="52" t="s">
        <v>457</v>
      </c>
      <c r="G496" s="61">
        <v>5</v>
      </c>
      <c r="H496" s="51"/>
      <c r="I496" s="61">
        <f t="shared" si="38"/>
        <v>5</v>
      </c>
      <c r="J496" s="52">
        <v>1</v>
      </c>
      <c r="K496" s="61">
        <f t="shared" si="39"/>
        <v>5</v>
      </c>
      <c r="L496" s="54"/>
      <c r="M496" s="54"/>
      <c r="N496" s="54"/>
    </row>
    <row r="497" spans="1:14" ht="24" customHeight="1" x14ac:dyDescent="0.25">
      <c r="A497" s="70">
        <v>111</v>
      </c>
      <c r="B497" s="79" t="s">
        <v>71</v>
      </c>
      <c r="C497" s="129"/>
      <c r="D497" s="52" t="s">
        <v>598</v>
      </c>
      <c r="E497" s="97" t="s">
        <v>523</v>
      </c>
      <c r="F497" s="52" t="s">
        <v>457</v>
      </c>
      <c r="G497" s="61">
        <v>530</v>
      </c>
      <c r="H497" s="51"/>
      <c r="I497" s="61">
        <f t="shared" si="38"/>
        <v>530</v>
      </c>
      <c r="J497" s="52">
        <v>1</v>
      </c>
      <c r="K497" s="61">
        <f t="shared" si="39"/>
        <v>530</v>
      </c>
      <c r="L497" s="54"/>
      <c r="M497" s="54"/>
      <c r="N497" s="54"/>
    </row>
    <row r="498" spans="1:14" ht="24" customHeight="1" x14ac:dyDescent="0.25">
      <c r="A498" s="70">
        <v>112</v>
      </c>
      <c r="B498" s="79" t="s">
        <v>71</v>
      </c>
      <c r="C498" s="129"/>
      <c r="D498" s="52" t="s">
        <v>599</v>
      </c>
      <c r="E498" s="52" t="s">
        <v>600</v>
      </c>
      <c r="F498" s="101" t="s">
        <v>457</v>
      </c>
      <c r="G498" s="61">
        <v>100</v>
      </c>
      <c r="H498" s="51"/>
      <c r="I498" s="61">
        <f t="shared" si="38"/>
        <v>100</v>
      </c>
      <c r="J498" s="52">
        <v>1</v>
      </c>
      <c r="K498" s="61">
        <f t="shared" si="39"/>
        <v>100</v>
      </c>
      <c r="L498" s="54"/>
      <c r="M498" s="54"/>
      <c r="N498" s="54"/>
    </row>
    <row r="499" spans="1:14" ht="24" customHeight="1" x14ac:dyDescent="0.3">
      <c r="A499" s="70">
        <v>113</v>
      </c>
      <c r="B499" s="79" t="s">
        <v>71</v>
      </c>
      <c r="C499" s="129"/>
      <c r="D499" s="142" t="s">
        <v>512</v>
      </c>
      <c r="E499" s="106" t="s">
        <v>514</v>
      </c>
      <c r="F499" s="101" t="s">
        <v>247</v>
      </c>
      <c r="G499" s="61">
        <v>53</v>
      </c>
      <c r="H499" s="51"/>
      <c r="I499" s="61">
        <f t="shared" si="38"/>
        <v>53</v>
      </c>
      <c r="J499" s="52">
        <v>1</v>
      </c>
      <c r="K499" s="61">
        <f t="shared" si="39"/>
        <v>53</v>
      </c>
      <c r="L499" s="54"/>
      <c r="M499" s="54"/>
      <c r="N499" s="54"/>
    </row>
    <row r="500" spans="1:14" ht="24" customHeight="1" x14ac:dyDescent="0.25">
      <c r="A500" s="70">
        <v>114</v>
      </c>
      <c r="B500" s="79" t="s">
        <v>71</v>
      </c>
      <c r="C500" s="129"/>
      <c r="D500" s="142"/>
      <c r="E500" s="97" t="s">
        <v>580</v>
      </c>
      <c r="F500" s="101" t="s">
        <v>457</v>
      </c>
      <c r="G500" s="61">
        <v>170</v>
      </c>
      <c r="H500" s="51"/>
      <c r="I500" s="61">
        <f t="shared" si="38"/>
        <v>170</v>
      </c>
      <c r="J500" s="52">
        <v>1</v>
      </c>
      <c r="K500" s="61">
        <f t="shared" si="39"/>
        <v>170</v>
      </c>
      <c r="L500" s="54"/>
      <c r="M500" s="54"/>
      <c r="N500" s="54"/>
    </row>
    <row r="501" spans="1:14" ht="24" customHeight="1" x14ac:dyDescent="0.25">
      <c r="A501" s="70">
        <v>115</v>
      </c>
      <c r="B501" s="79" t="s">
        <v>71</v>
      </c>
      <c r="C501" s="129"/>
      <c r="D501" s="52" t="s">
        <v>521</v>
      </c>
      <c r="E501" s="97" t="s">
        <v>681</v>
      </c>
      <c r="F501" s="52" t="s">
        <v>457</v>
      </c>
      <c r="G501" s="61">
        <v>5</v>
      </c>
      <c r="H501" s="51"/>
      <c r="I501" s="61">
        <f t="shared" si="38"/>
        <v>5</v>
      </c>
      <c r="J501" s="52">
        <v>1</v>
      </c>
      <c r="K501" s="61">
        <f t="shared" si="39"/>
        <v>5</v>
      </c>
      <c r="L501" s="54"/>
      <c r="M501" s="54"/>
      <c r="N501" s="54"/>
    </row>
    <row r="502" spans="1:14" ht="24" customHeight="1" x14ac:dyDescent="0.3">
      <c r="A502" s="70">
        <v>116</v>
      </c>
      <c r="B502" s="79" t="s">
        <v>71</v>
      </c>
      <c r="C502" s="129"/>
      <c r="D502" s="52" t="s">
        <v>601</v>
      </c>
      <c r="E502" s="106" t="s">
        <v>602</v>
      </c>
      <c r="F502" s="101" t="s">
        <v>226</v>
      </c>
      <c r="G502" s="61">
        <v>2604</v>
      </c>
      <c r="H502" s="51"/>
      <c r="I502" s="61">
        <f t="shared" si="38"/>
        <v>2604</v>
      </c>
      <c r="J502" s="52">
        <v>1</v>
      </c>
      <c r="K502" s="61">
        <f t="shared" si="39"/>
        <v>2604</v>
      </c>
      <c r="L502" s="54"/>
      <c r="M502" s="54"/>
      <c r="N502" s="54"/>
    </row>
    <row r="503" spans="1:14" ht="24" customHeight="1" x14ac:dyDescent="0.25">
      <c r="A503" s="70">
        <v>117</v>
      </c>
      <c r="B503" s="79" t="s">
        <v>71</v>
      </c>
      <c r="C503" s="129"/>
      <c r="D503" s="52" t="s">
        <v>603</v>
      </c>
      <c r="E503" s="52" t="s">
        <v>604</v>
      </c>
      <c r="F503" s="52" t="s">
        <v>226</v>
      </c>
      <c r="G503" s="61">
        <v>254</v>
      </c>
      <c r="H503" s="51"/>
      <c r="I503" s="61">
        <f t="shared" si="38"/>
        <v>254</v>
      </c>
      <c r="J503" s="52">
        <v>2</v>
      </c>
      <c r="K503" s="61">
        <f t="shared" si="39"/>
        <v>508</v>
      </c>
      <c r="L503" s="54"/>
      <c r="M503" s="54"/>
      <c r="N503" s="54"/>
    </row>
    <row r="504" spans="1:14" ht="24" customHeight="1" x14ac:dyDescent="0.25">
      <c r="A504" s="70">
        <v>118</v>
      </c>
      <c r="B504" s="79" t="s">
        <v>71</v>
      </c>
      <c r="C504" s="129"/>
      <c r="D504" s="52" t="s">
        <v>605</v>
      </c>
      <c r="E504" s="97" t="s">
        <v>681</v>
      </c>
      <c r="F504" s="52" t="s">
        <v>457</v>
      </c>
      <c r="G504" s="61">
        <v>5</v>
      </c>
      <c r="H504" s="51"/>
      <c r="I504" s="61">
        <f t="shared" si="38"/>
        <v>5</v>
      </c>
      <c r="J504" s="52">
        <v>1</v>
      </c>
      <c r="K504" s="61">
        <f t="shared" si="39"/>
        <v>5</v>
      </c>
      <c r="L504" s="54"/>
      <c r="M504" s="54"/>
      <c r="N504" s="54"/>
    </row>
    <row r="505" spans="1:14" ht="24" customHeight="1" x14ac:dyDescent="0.25">
      <c r="A505" s="70">
        <v>119</v>
      </c>
      <c r="B505" s="79" t="s">
        <v>71</v>
      </c>
      <c r="C505" s="129"/>
      <c r="D505" s="52" t="s">
        <v>519</v>
      </c>
      <c r="E505" s="97" t="s">
        <v>520</v>
      </c>
      <c r="F505" s="52" t="s">
        <v>457</v>
      </c>
      <c r="G505" s="61">
        <v>30</v>
      </c>
      <c r="H505" s="51"/>
      <c r="I505" s="61">
        <f t="shared" si="38"/>
        <v>30</v>
      </c>
      <c r="J505" s="52">
        <v>18</v>
      </c>
      <c r="K505" s="61">
        <f t="shared" si="39"/>
        <v>540</v>
      </c>
      <c r="L505" s="54"/>
      <c r="M505" s="54"/>
      <c r="N505" s="54"/>
    </row>
    <row r="506" spans="1:14" ht="24" customHeight="1" x14ac:dyDescent="0.25">
      <c r="A506" s="70">
        <v>120</v>
      </c>
      <c r="B506" s="79" t="s">
        <v>71</v>
      </c>
      <c r="C506" s="143" t="s">
        <v>606</v>
      </c>
      <c r="D506" s="49" t="s">
        <v>800</v>
      </c>
      <c r="E506" s="49" t="s">
        <v>914</v>
      </c>
      <c r="F506" s="52" t="s">
        <v>493</v>
      </c>
      <c r="G506" s="61"/>
      <c r="H506" s="61">
        <v>12194</v>
      </c>
      <c r="I506" s="61">
        <f t="shared" si="38"/>
        <v>12194</v>
      </c>
      <c r="J506" s="49">
        <v>1</v>
      </c>
      <c r="K506" s="61">
        <f t="shared" si="39"/>
        <v>12194</v>
      </c>
      <c r="L506" s="54"/>
      <c r="M506" s="54"/>
      <c r="N506" s="54"/>
    </row>
    <row r="507" spans="1:14" ht="24" customHeight="1" x14ac:dyDescent="0.25">
      <c r="A507" s="70">
        <v>121</v>
      </c>
      <c r="B507" s="79" t="s">
        <v>71</v>
      </c>
      <c r="C507" s="143"/>
      <c r="D507" s="52" t="s">
        <v>607</v>
      </c>
      <c r="E507" s="82" t="s">
        <v>608</v>
      </c>
      <c r="F507" s="49" t="s">
        <v>226</v>
      </c>
      <c r="G507" s="61">
        <v>4835</v>
      </c>
      <c r="H507" s="51"/>
      <c r="I507" s="61">
        <f t="shared" si="38"/>
        <v>4835</v>
      </c>
      <c r="J507" s="52">
        <v>1</v>
      </c>
      <c r="K507" s="61">
        <f t="shared" si="39"/>
        <v>4835</v>
      </c>
      <c r="L507" s="54"/>
      <c r="M507" s="54"/>
      <c r="N507" s="54"/>
    </row>
    <row r="508" spans="1:14" ht="24" customHeight="1" x14ac:dyDescent="0.25">
      <c r="A508" s="70">
        <v>122</v>
      </c>
      <c r="B508" s="79" t="s">
        <v>71</v>
      </c>
      <c r="C508" s="143"/>
      <c r="D508" s="52" t="s">
        <v>609</v>
      </c>
      <c r="E508" s="97" t="s">
        <v>610</v>
      </c>
      <c r="F508" s="101" t="s">
        <v>226</v>
      </c>
      <c r="G508" s="61">
        <v>1467</v>
      </c>
      <c r="H508" s="51"/>
      <c r="I508" s="61">
        <f t="shared" si="38"/>
        <v>1467</v>
      </c>
      <c r="J508" s="52">
        <v>2</v>
      </c>
      <c r="K508" s="61">
        <f t="shared" si="39"/>
        <v>2934</v>
      </c>
      <c r="L508" s="54"/>
      <c r="M508" s="54"/>
      <c r="N508" s="54"/>
    </row>
    <row r="509" spans="1:14" ht="24" customHeight="1" x14ac:dyDescent="0.25">
      <c r="A509" s="70">
        <v>123</v>
      </c>
      <c r="B509" s="79" t="s">
        <v>71</v>
      </c>
      <c r="C509" s="143"/>
      <c r="D509" s="52" t="s">
        <v>531</v>
      </c>
      <c r="E509" s="52" t="s">
        <v>532</v>
      </c>
      <c r="F509" s="52" t="s">
        <v>226</v>
      </c>
      <c r="G509" s="61">
        <v>13230</v>
      </c>
      <c r="H509" s="51"/>
      <c r="I509" s="61">
        <f t="shared" si="38"/>
        <v>13230</v>
      </c>
      <c r="J509" s="52">
        <v>1</v>
      </c>
      <c r="K509" s="61">
        <f t="shared" si="39"/>
        <v>13230</v>
      </c>
      <c r="L509" s="54"/>
      <c r="M509" s="54"/>
      <c r="N509" s="54"/>
    </row>
    <row r="510" spans="1:14" ht="24" customHeight="1" x14ac:dyDescent="0.25">
      <c r="A510" s="70">
        <v>124</v>
      </c>
      <c r="B510" s="79" t="s">
        <v>71</v>
      </c>
      <c r="C510" s="143"/>
      <c r="D510" s="52" t="s">
        <v>519</v>
      </c>
      <c r="E510" s="52" t="s">
        <v>611</v>
      </c>
      <c r="F510" s="52" t="s">
        <v>457</v>
      </c>
      <c r="G510" s="61">
        <v>15</v>
      </c>
      <c r="H510" s="51"/>
      <c r="I510" s="61">
        <f t="shared" si="38"/>
        <v>15</v>
      </c>
      <c r="J510" s="52">
        <v>1</v>
      </c>
      <c r="K510" s="61">
        <f t="shared" si="39"/>
        <v>15</v>
      </c>
      <c r="L510" s="54"/>
      <c r="M510" s="54"/>
      <c r="N510" s="54"/>
    </row>
    <row r="511" spans="1:14" ht="24" customHeight="1" x14ac:dyDescent="0.3">
      <c r="A511" s="70">
        <v>125</v>
      </c>
      <c r="B511" s="79" t="s">
        <v>71</v>
      </c>
      <c r="C511" s="140" t="s">
        <v>614</v>
      </c>
      <c r="D511" s="49" t="s">
        <v>801</v>
      </c>
      <c r="E511" s="106" t="s">
        <v>915</v>
      </c>
      <c r="F511" s="101" t="s">
        <v>842</v>
      </c>
      <c r="G511" s="61"/>
      <c r="H511" s="61">
        <v>12194</v>
      </c>
      <c r="I511" s="61">
        <v>12194</v>
      </c>
      <c r="J511" s="52">
        <v>1</v>
      </c>
      <c r="K511" s="61">
        <f t="shared" si="39"/>
        <v>12194</v>
      </c>
      <c r="L511" s="54"/>
      <c r="M511" s="54"/>
      <c r="N511" s="54"/>
    </row>
    <row r="512" spans="1:14" ht="24" customHeight="1" x14ac:dyDescent="0.25">
      <c r="A512" s="70">
        <v>126</v>
      </c>
      <c r="B512" s="79" t="s">
        <v>71</v>
      </c>
      <c r="C512" s="144"/>
      <c r="D512" s="71" t="s">
        <v>615</v>
      </c>
      <c r="E512" s="82" t="s">
        <v>616</v>
      </c>
      <c r="F512" s="71" t="s">
        <v>457</v>
      </c>
      <c r="G512" s="61">
        <v>100</v>
      </c>
      <c r="H512" s="51"/>
      <c r="I512" s="61">
        <f t="shared" ref="I512:I514" si="40">SUM(G512:H512)</f>
        <v>100</v>
      </c>
      <c r="J512" s="52">
        <v>45</v>
      </c>
      <c r="K512" s="61">
        <f t="shared" ref="K512:K515" si="41">I512*J512</f>
        <v>4500</v>
      </c>
      <c r="L512" s="54"/>
      <c r="M512" s="54"/>
      <c r="N512" s="54"/>
    </row>
    <row r="513" spans="1:14" ht="24" customHeight="1" x14ac:dyDescent="0.25">
      <c r="A513" s="70">
        <v>127</v>
      </c>
      <c r="B513" s="79" t="s">
        <v>71</v>
      </c>
      <c r="C513" s="144"/>
      <c r="D513" s="49" t="s">
        <v>617</v>
      </c>
      <c r="E513" s="82" t="s">
        <v>618</v>
      </c>
      <c r="F513" s="71" t="s">
        <v>231</v>
      </c>
      <c r="G513" s="61">
        <v>110</v>
      </c>
      <c r="H513" s="51"/>
      <c r="I513" s="61">
        <f t="shared" si="40"/>
        <v>110</v>
      </c>
      <c r="J513" s="52">
        <v>15</v>
      </c>
      <c r="K513" s="61">
        <f t="shared" si="41"/>
        <v>1650</v>
      </c>
      <c r="L513" s="54"/>
      <c r="M513" s="54"/>
      <c r="N513" s="54"/>
    </row>
    <row r="514" spans="1:14" ht="24" customHeight="1" x14ac:dyDescent="0.25">
      <c r="A514" s="70">
        <v>128</v>
      </c>
      <c r="B514" s="79" t="s">
        <v>71</v>
      </c>
      <c r="C514" s="141"/>
      <c r="D514" s="49" t="s">
        <v>948</v>
      </c>
      <c r="E514" s="49" t="s">
        <v>948</v>
      </c>
      <c r="F514" s="71" t="s">
        <v>407</v>
      </c>
      <c r="G514" s="61">
        <v>3000</v>
      </c>
      <c r="H514" s="51"/>
      <c r="I514" s="61">
        <f t="shared" si="40"/>
        <v>3000</v>
      </c>
      <c r="J514" s="52">
        <v>1</v>
      </c>
      <c r="K514" s="61">
        <f t="shared" si="41"/>
        <v>3000</v>
      </c>
      <c r="L514" s="54"/>
      <c r="M514" s="54"/>
      <c r="N514" s="54"/>
    </row>
    <row r="515" spans="1:14" ht="24" customHeight="1" x14ac:dyDescent="0.25">
      <c r="A515" s="70">
        <v>129</v>
      </c>
      <c r="B515" s="79" t="s">
        <v>71</v>
      </c>
      <c r="C515" s="140" t="s">
        <v>619</v>
      </c>
      <c r="D515" s="49" t="s">
        <v>802</v>
      </c>
      <c r="E515" s="82" t="s">
        <v>916</v>
      </c>
      <c r="F515" s="71" t="s">
        <v>485</v>
      </c>
      <c r="G515" s="61"/>
      <c r="H515" s="61">
        <v>12194</v>
      </c>
      <c r="I515" s="61">
        <f>SUM(G515:H515)</f>
        <v>12194</v>
      </c>
      <c r="J515" s="52">
        <v>2</v>
      </c>
      <c r="K515" s="61">
        <f t="shared" si="41"/>
        <v>24388</v>
      </c>
      <c r="L515" s="54"/>
      <c r="M515" s="54"/>
      <c r="N515" s="54"/>
    </row>
    <row r="516" spans="1:14" ht="24" customHeight="1" x14ac:dyDescent="0.25">
      <c r="A516" s="70">
        <v>130</v>
      </c>
      <c r="B516" s="79" t="s">
        <v>71</v>
      </c>
      <c r="C516" s="144"/>
      <c r="D516" s="49" t="s">
        <v>620</v>
      </c>
      <c r="E516" s="82" t="s">
        <v>621</v>
      </c>
      <c r="F516" s="71" t="s">
        <v>513</v>
      </c>
      <c r="G516" s="61">
        <v>178</v>
      </c>
      <c r="H516" s="51"/>
      <c r="I516" s="61">
        <f t="shared" ref="I516:I550" si="42">SUM(G516:H516)</f>
        <v>178</v>
      </c>
      <c r="J516" s="52">
        <v>6</v>
      </c>
      <c r="K516" s="61">
        <f t="shared" ref="K516:K550" si="43">I516*J516</f>
        <v>1068</v>
      </c>
      <c r="L516" s="54"/>
      <c r="M516" s="54"/>
      <c r="N516" s="54"/>
    </row>
    <row r="517" spans="1:14" ht="24" customHeight="1" x14ac:dyDescent="0.25">
      <c r="A517" s="70">
        <v>131</v>
      </c>
      <c r="B517" s="79" t="s">
        <v>71</v>
      </c>
      <c r="C517" s="144"/>
      <c r="D517" s="49" t="s">
        <v>622</v>
      </c>
      <c r="E517" s="82" t="s">
        <v>623</v>
      </c>
      <c r="F517" s="71" t="s">
        <v>513</v>
      </c>
      <c r="G517" s="61">
        <v>464</v>
      </c>
      <c r="H517" s="51"/>
      <c r="I517" s="61">
        <f t="shared" si="42"/>
        <v>464</v>
      </c>
      <c r="J517" s="52">
        <v>6</v>
      </c>
      <c r="K517" s="61">
        <f t="shared" si="43"/>
        <v>2784</v>
      </c>
      <c r="L517" s="54"/>
      <c r="M517" s="54"/>
      <c r="N517" s="54"/>
    </row>
    <row r="518" spans="1:14" ht="24" customHeight="1" x14ac:dyDescent="0.25">
      <c r="A518" s="70">
        <v>132</v>
      </c>
      <c r="B518" s="79" t="s">
        <v>71</v>
      </c>
      <c r="C518" s="144"/>
      <c r="D518" s="132" t="s">
        <v>624</v>
      </c>
      <c r="E518" s="82" t="s">
        <v>625</v>
      </c>
      <c r="F518" s="71" t="s">
        <v>457</v>
      </c>
      <c r="G518" s="61">
        <v>35</v>
      </c>
      <c r="H518" s="51"/>
      <c r="I518" s="61">
        <f t="shared" si="42"/>
        <v>35</v>
      </c>
      <c r="J518" s="52">
        <v>2</v>
      </c>
      <c r="K518" s="61">
        <f t="shared" si="43"/>
        <v>70</v>
      </c>
      <c r="L518" s="54"/>
      <c r="M518" s="54"/>
      <c r="N518" s="54"/>
    </row>
    <row r="519" spans="1:14" ht="24" customHeight="1" x14ac:dyDescent="0.25">
      <c r="A519" s="70">
        <v>133</v>
      </c>
      <c r="B519" s="79" t="s">
        <v>71</v>
      </c>
      <c r="C519" s="144"/>
      <c r="D519" s="132"/>
      <c r="E519" s="82" t="s">
        <v>626</v>
      </c>
      <c r="F519" s="71" t="s">
        <v>457</v>
      </c>
      <c r="G519" s="61">
        <v>44</v>
      </c>
      <c r="H519" s="51"/>
      <c r="I519" s="61">
        <f t="shared" si="42"/>
        <v>44</v>
      </c>
      <c r="J519" s="52">
        <v>2</v>
      </c>
      <c r="K519" s="61">
        <f t="shared" si="43"/>
        <v>88</v>
      </c>
      <c r="L519" s="54"/>
      <c r="M519" s="54"/>
      <c r="N519" s="54"/>
    </row>
    <row r="520" spans="1:14" ht="24" customHeight="1" x14ac:dyDescent="0.25">
      <c r="A520" s="70">
        <v>134</v>
      </c>
      <c r="B520" s="79" t="s">
        <v>71</v>
      </c>
      <c r="C520" s="141"/>
      <c r="D520" s="49" t="s">
        <v>947</v>
      </c>
      <c r="E520" s="82" t="s">
        <v>947</v>
      </c>
      <c r="F520" s="71" t="s">
        <v>407</v>
      </c>
      <c r="G520" s="61">
        <v>3000</v>
      </c>
      <c r="H520" s="51"/>
      <c r="I520" s="61">
        <f t="shared" si="42"/>
        <v>3000</v>
      </c>
      <c r="J520" s="52">
        <v>1</v>
      </c>
      <c r="K520" s="61">
        <f t="shared" si="43"/>
        <v>3000</v>
      </c>
      <c r="L520" s="54"/>
      <c r="M520" s="54"/>
      <c r="N520" s="54"/>
    </row>
    <row r="521" spans="1:14" ht="24" customHeight="1" x14ac:dyDescent="0.25">
      <c r="A521" s="70">
        <v>135</v>
      </c>
      <c r="B521" s="79" t="s">
        <v>71</v>
      </c>
      <c r="C521" s="143" t="s">
        <v>627</v>
      </c>
      <c r="D521" s="52" t="s">
        <v>628</v>
      </c>
      <c r="E521" s="97" t="s">
        <v>629</v>
      </c>
      <c r="F521" s="101" t="s">
        <v>457</v>
      </c>
      <c r="G521" s="61">
        <v>930</v>
      </c>
      <c r="H521" s="51"/>
      <c r="I521" s="61">
        <f t="shared" si="42"/>
        <v>930</v>
      </c>
      <c r="J521" s="52">
        <v>12</v>
      </c>
      <c r="K521" s="61">
        <f t="shared" si="43"/>
        <v>11160</v>
      </c>
      <c r="L521" s="54"/>
      <c r="M521" s="54"/>
      <c r="N521" s="54"/>
    </row>
    <row r="522" spans="1:14" ht="24" customHeight="1" x14ac:dyDescent="0.25">
      <c r="A522" s="70">
        <v>136</v>
      </c>
      <c r="B522" s="79" t="s">
        <v>71</v>
      </c>
      <c r="C522" s="143"/>
      <c r="D522" s="52" t="s">
        <v>630</v>
      </c>
      <c r="E522" s="103" t="s">
        <v>631</v>
      </c>
      <c r="F522" s="101" t="s">
        <v>226</v>
      </c>
      <c r="G522" s="61">
        <v>1510</v>
      </c>
      <c r="H522" s="51"/>
      <c r="I522" s="61">
        <f t="shared" si="42"/>
        <v>1510</v>
      </c>
      <c r="J522" s="52">
        <v>2</v>
      </c>
      <c r="K522" s="61">
        <f t="shared" si="43"/>
        <v>3020</v>
      </c>
      <c r="L522" s="54"/>
      <c r="M522" s="54"/>
      <c r="N522" s="54"/>
    </row>
    <row r="523" spans="1:14" ht="24" customHeight="1" x14ac:dyDescent="0.25">
      <c r="A523" s="70">
        <v>137</v>
      </c>
      <c r="B523" s="79" t="s">
        <v>71</v>
      </c>
      <c r="C523" s="143"/>
      <c r="D523" s="52" t="s">
        <v>632</v>
      </c>
      <c r="E523" s="82" t="s">
        <v>633</v>
      </c>
      <c r="F523" s="52" t="s">
        <v>247</v>
      </c>
      <c r="G523" s="61">
        <v>1400</v>
      </c>
      <c r="H523" s="51"/>
      <c r="I523" s="61">
        <f t="shared" si="42"/>
        <v>1400</v>
      </c>
      <c r="J523" s="52">
        <v>3</v>
      </c>
      <c r="K523" s="61">
        <f t="shared" si="43"/>
        <v>4200</v>
      </c>
      <c r="L523" s="54"/>
      <c r="M523" s="54"/>
      <c r="N523" s="54"/>
    </row>
    <row r="524" spans="1:14" ht="24" customHeight="1" x14ac:dyDescent="0.25">
      <c r="A524" s="70">
        <v>138</v>
      </c>
      <c r="B524" s="79" t="s">
        <v>71</v>
      </c>
      <c r="C524" s="143"/>
      <c r="D524" s="52" t="s">
        <v>634</v>
      </c>
      <c r="E524" s="82" t="s">
        <v>635</v>
      </c>
      <c r="F524" s="52" t="s">
        <v>247</v>
      </c>
      <c r="G524" s="61">
        <v>2240</v>
      </c>
      <c r="H524" s="51"/>
      <c r="I524" s="61">
        <f t="shared" si="42"/>
        <v>2240</v>
      </c>
      <c r="J524" s="52">
        <v>1</v>
      </c>
      <c r="K524" s="61">
        <f t="shared" si="43"/>
        <v>2240</v>
      </c>
      <c r="L524" s="54"/>
      <c r="M524" s="54"/>
      <c r="N524" s="54"/>
    </row>
    <row r="525" spans="1:14" ht="24" customHeight="1" x14ac:dyDescent="0.25">
      <c r="A525" s="70">
        <v>139</v>
      </c>
      <c r="B525" s="79" t="s">
        <v>71</v>
      </c>
      <c r="C525" s="143"/>
      <c r="D525" s="52" t="s">
        <v>636</v>
      </c>
      <c r="E525" s="97" t="s">
        <v>637</v>
      </c>
      <c r="F525" s="101" t="s">
        <v>457</v>
      </c>
      <c r="G525" s="61">
        <v>1530</v>
      </c>
      <c r="H525" s="51"/>
      <c r="I525" s="61">
        <f t="shared" si="42"/>
        <v>1530</v>
      </c>
      <c r="J525" s="52">
        <v>2</v>
      </c>
      <c r="K525" s="61">
        <f t="shared" si="43"/>
        <v>3060</v>
      </c>
      <c r="L525" s="54"/>
      <c r="M525" s="54"/>
      <c r="N525" s="54"/>
    </row>
    <row r="526" spans="1:14" ht="24" customHeight="1" x14ac:dyDescent="0.25">
      <c r="A526" s="70">
        <v>140</v>
      </c>
      <c r="B526" s="79" t="s">
        <v>71</v>
      </c>
      <c r="C526" s="143"/>
      <c r="D526" s="52" t="s">
        <v>638</v>
      </c>
      <c r="E526" s="97" t="s">
        <v>639</v>
      </c>
      <c r="F526" s="101" t="s">
        <v>457</v>
      </c>
      <c r="G526" s="61">
        <v>1707</v>
      </c>
      <c r="H526" s="51"/>
      <c r="I526" s="61">
        <f t="shared" si="42"/>
        <v>1707</v>
      </c>
      <c r="J526" s="52">
        <v>2</v>
      </c>
      <c r="K526" s="61">
        <f t="shared" si="43"/>
        <v>3414</v>
      </c>
      <c r="L526" s="54"/>
      <c r="M526" s="54"/>
      <c r="N526" s="54"/>
    </row>
    <row r="527" spans="1:14" ht="24" customHeight="1" x14ac:dyDescent="0.25">
      <c r="A527" s="70">
        <v>141</v>
      </c>
      <c r="B527" s="79" t="s">
        <v>71</v>
      </c>
      <c r="C527" s="143"/>
      <c r="D527" s="52" t="s">
        <v>640</v>
      </c>
      <c r="E527" s="97" t="s">
        <v>486</v>
      </c>
      <c r="F527" s="101" t="s">
        <v>457</v>
      </c>
      <c r="G527" s="61">
        <v>2100</v>
      </c>
      <c r="H527" s="51"/>
      <c r="I527" s="61">
        <f t="shared" si="42"/>
        <v>2100</v>
      </c>
      <c r="J527" s="52">
        <v>3</v>
      </c>
      <c r="K527" s="61">
        <f t="shared" si="43"/>
        <v>6300</v>
      </c>
      <c r="L527" s="54"/>
      <c r="M527" s="54"/>
      <c r="N527" s="54"/>
    </row>
    <row r="528" spans="1:14" ht="24" customHeight="1" x14ac:dyDescent="0.25">
      <c r="A528" s="70">
        <v>142</v>
      </c>
      <c r="B528" s="79" t="s">
        <v>71</v>
      </c>
      <c r="C528" s="143"/>
      <c r="D528" s="52" t="s">
        <v>641</v>
      </c>
      <c r="E528" s="98" t="s">
        <v>642</v>
      </c>
      <c r="F528" s="101" t="s">
        <v>247</v>
      </c>
      <c r="G528" s="61">
        <v>340</v>
      </c>
      <c r="H528" s="51"/>
      <c r="I528" s="61">
        <f t="shared" si="42"/>
        <v>340</v>
      </c>
      <c r="J528" s="52">
        <v>12</v>
      </c>
      <c r="K528" s="61">
        <f t="shared" si="43"/>
        <v>4080</v>
      </c>
      <c r="L528" s="54"/>
      <c r="M528" s="54"/>
      <c r="N528" s="54"/>
    </row>
    <row r="529" spans="1:14" ht="24" customHeight="1" x14ac:dyDescent="0.25">
      <c r="A529" s="70">
        <v>143</v>
      </c>
      <c r="B529" s="79" t="s">
        <v>71</v>
      </c>
      <c r="C529" s="143"/>
      <c r="D529" s="52" t="s">
        <v>643</v>
      </c>
      <c r="E529" s="98" t="s">
        <v>644</v>
      </c>
      <c r="F529" s="101" t="s">
        <v>247</v>
      </c>
      <c r="G529" s="61">
        <v>410</v>
      </c>
      <c r="H529" s="51"/>
      <c r="I529" s="61">
        <f t="shared" si="42"/>
        <v>410</v>
      </c>
      <c r="J529" s="52">
        <v>2</v>
      </c>
      <c r="K529" s="61">
        <f t="shared" si="43"/>
        <v>820</v>
      </c>
      <c r="L529" s="54"/>
      <c r="M529" s="54"/>
      <c r="N529" s="54"/>
    </row>
    <row r="530" spans="1:14" ht="24" customHeight="1" x14ac:dyDescent="0.25">
      <c r="A530" s="70">
        <v>144</v>
      </c>
      <c r="B530" s="79" t="s">
        <v>71</v>
      </c>
      <c r="C530" s="143"/>
      <c r="D530" s="52" t="s">
        <v>645</v>
      </c>
      <c r="E530" s="82" t="s">
        <v>646</v>
      </c>
      <c r="F530" s="101" t="s">
        <v>247</v>
      </c>
      <c r="G530" s="61">
        <v>1030</v>
      </c>
      <c r="H530" s="51"/>
      <c r="I530" s="61">
        <f t="shared" si="42"/>
        <v>1030</v>
      </c>
      <c r="J530" s="52">
        <v>4</v>
      </c>
      <c r="K530" s="61">
        <f t="shared" si="43"/>
        <v>4120</v>
      </c>
      <c r="L530" s="54"/>
      <c r="M530" s="54"/>
      <c r="N530" s="54"/>
    </row>
    <row r="531" spans="1:14" ht="24" customHeight="1" x14ac:dyDescent="0.25">
      <c r="A531" s="70">
        <v>145</v>
      </c>
      <c r="B531" s="79" t="s">
        <v>71</v>
      </c>
      <c r="C531" s="143"/>
      <c r="D531" s="52" t="s">
        <v>647</v>
      </c>
      <c r="E531" s="82" t="s">
        <v>648</v>
      </c>
      <c r="F531" s="101" t="s">
        <v>247</v>
      </c>
      <c r="G531" s="61">
        <v>870</v>
      </c>
      <c r="H531" s="51"/>
      <c r="I531" s="61">
        <f t="shared" si="42"/>
        <v>870</v>
      </c>
      <c r="J531" s="52">
        <v>2</v>
      </c>
      <c r="K531" s="61">
        <f t="shared" si="43"/>
        <v>1740</v>
      </c>
      <c r="L531" s="54"/>
      <c r="M531" s="54"/>
      <c r="N531" s="54"/>
    </row>
    <row r="532" spans="1:14" ht="24" customHeight="1" x14ac:dyDescent="0.25">
      <c r="A532" s="70">
        <v>146</v>
      </c>
      <c r="B532" s="79" t="s">
        <v>71</v>
      </c>
      <c r="C532" s="143"/>
      <c r="D532" s="52" t="s">
        <v>649</v>
      </c>
      <c r="E532" s="98" t="s">
        <v>650</v>
      </c>
      <c r="F532" s="101" t="s">
        <v>247</v>
      </c>
      <c r="G532" s="61">
        <v>1060</v>
      </c>
      <c r="H532" s="51"/>
      <c r="I532" s="61">
        <f t="shared" si="42"/>
        <v>1060</v>
      </c>
      <c r="J532" s="52">
        <v>2</v>
      </c>
      <c r="K532" s="61">
        <f t="shared" si="43"/>
        <v>2120</v>
      </c>
      <c r="L532" s="54"/>
      <c r="M532" s="54"/>
      <c r="N532" s="54"/>
    </row>
    <row r="533" spans="1:14" ht="24" customHeight="1" x14ac:dyDescent="0.25">
      <c r="A533" s="70">
        <v>147</v>
      </c>
      <c r="B533" s="79" t="s">
        <v>71</v>
      </c>
      <c r="C533" s="143"/>
      <c r="D533" s="52" t="s">
        <v>651</v>
      </c>
      <c r="E533" s="82" t="s">
        <v>652</v>
      </c>
      <c r="F533" s="101" t="s">
        <v>247</v>
      </c>
      <c r="G533" s="61">
        <v>1152</v>
      </c>
      <c r="H533" s="51"/>
      <c r="I533" s="61">
        <f t="shared" si="42"/>
        <v>1152</v>
      </c>
      <c r="J533" s="52">
        <v>3</v>
      </c>
      <c r="K533" s="61">
        <f t="shared" si="43"/>
        <v>3456</v>
      </c>
      <c r="L533" s="54"/>
      <c r="M533" s="54"/>
      <c r="N533" s="54"/>
    </row>
    <row r="534" spans="1:14" ht="24" customHeight="1" x14ac:dyDescent="0.25">
      <c r="A534" s="70">
        <v>148</v>
      </c>
      <c r="B534" s="79" t="s">
        <v>71</v>
      </c>
      <c r="C534" s="131" t="s">
        <v>653</v>
      </c>
      <c r="D534" s="49" t="s">
        <v>654</v>
      </c>
      <c r="E534" s="49" t="s">
        <v>655</v>
      </c>
      <c r="F534" s="80" t="s">
        <v>87</v>
      </c>
      <c r="G534" s="61">
        <v>3400</v>
      </c>
      <c r="H534" s="51"/>
      <c r="I534" s="61">
        <f t="shared" si="42"/>
        <v>3400</v>
      </c>
      <c r="J534" s="52">
        <v>1</v>
      </c>
      <c r="K534" s="61">
        <f t="shared" si="43"/>
        <v>3400</v>
      </c>
      <c r="L534" s="54"/>
      <c r="M534" s="54"/>
      <c r="N534" s="54"/>
    </row>
    <row r="535" spans="1:14" ht="24" customHeight="1" x14ac:dyDescent="0.25">
      <c r="A535" s="70">
        <v>149</v>
      </c>
      <c r="B535" s="79" t="s">
        <v>71</v>
      </c>
      <c r="C535" s="131"/>
      <c r="D535" s="52" t="s">
        <v>656</v>
      </c>
      <c r="E535" s="49" t="s">
        <v>657</v>
      </c>
      <c r="F535" s="80" t="s">
        <v>87</v>
      </c>
      <c r="G535" s="61">
        <v>4100</v>
      </c>
      <c r="H535" s="51"/>
      <c r="I535" s="61">
        <f t="shared" si="42"/>
        <v>4100</v>
      </c>
      <c r="J535" s="52">
        <v>1</v>
      </c>
      <c r="K535" s="61">
        <f t="shared" si="43"/>
        <v>4100</v>
      </c>
      <c r="L535" s="54"/>
      <c r="M535" s="54"/>
      <c r="N535" s="54"/>
    </row>
    <row r="536" spans="1:14" ht="24" customHeight="1" x14ac:dyDescent="0.25">
      <c r="A536" s="70">
        <v>150</v>
      </c>
      <c r="B536" s="79" t="s">
        <v>71</v>
      </c>
      <c r="C536" s="131"/>
      <c r="D536" s="49" t="s">
        <v>658</v>
      </c>
      <c r="E536" s="49" t="s">
        <v>659</v>
      </c>
      <c r="F536" s="80" t="s">
        <v>87</v>
      </c>
      <c r="G536" s="61">
        <v>4100</v>
      </c>
      <c r="H536" s="51"/>
      <c r="I536" s="61">
        <f t="shared" si="42"/>
        <v>4100</v>
      </c>
      <c r="J536" s="52">
        <v>1</v>
      </c>
      <c r="K536" s="61">
        <f t="shared" si="43"/>
        <v>4100</v>
      </c>
      <c r="L536" s="54"/>
      <c r="M536" s="54"/>
      <c r="N536" s="54"/>
    </row>
    <row r="537" spans="1:14" ht="24" customHeight="1" x14ac:dyDescent="0.3">
      <c r="A537" s="70">
        <v>151</v>
      </c>
      <c r="B537" s="79" t="s">
        <v>71</v>
      </c>
      <c r="C537" s="131"/>
      <c r="D537" s="52" t="s">
        <v>946</v>
      </c>
      <c r="E537" s="108" t="s">
        <v>660</v>
      </c>
      <c r="F537" s="49" t="s">
        <v>661</v>
      </c>
      <c r="G537" s="61">
        <v>1100</v>
      </c>
      <c r="H537" s="51"/>
      <c r="I537" s="61">
        <f t="shared" si="42"/>
        <v>1100</v>
      </c>
      <c r="J537" s="52">
        <v>5</v>
      </c>
      <c r="K537" s="61">
        <f t="shared" si="43"/>
        <v>5500</v>
      </c>
      <c r="L537" s="54"/>
      <c r="M537" s="54"/>
      <c r="N537" s="54"/>
    </row>
    <row r="538" spans="1:14" ht="24" customHeight="1" x14ac:dyDescent="0.3">
      <c r="A538" s="70">
        <v>152</v>
      </c>
      <c r="B538" s="79" t="s">
        <v>71</v>
      </c>
      <c r="C538" s="131"/>
      <c r="D538" s="49" t="s">
        <v>662</v>
      </c>
      <c r="E538" s="108" t="s">
        <v>660</v>
      </c>
      <c r="F538" s="49" t="s">
        <v>661</v>
      </c>
      <c r="G538" s="61">
        <v>1300</v>
      </c>
      <c r="H538" s="51"/>
      <c r="I538" s="61">
        <f t="shared" si="42"/>
        <v>1300</v>
      </c>
      <c r="J538" s="52">
        <v>1</v>
      </c>
      <c r="K538" s="61">
        <f t="shared" si="43"/>
        <v>1300</v>
      </c>
      <c r="L538" s="54"/>
      <c r="M538" s="54"/>
      <c r="N538" s="54"/>
    </row>
    <row r="539" spans="1:14" ht="24" customHeight="1" x14ac:dyDescent="0.3">
      <c r="A539" s="70">
        <v>153</v>
      </c>
      <c r="B539" s="79" t="s">
        <v>71</v>
      </c>
      <c r="C539" s="131"/>
      <c r="D539" s="49" t="s">
        <v>987</v>
      </c>
      <c r="E539" s="108" t="s">
        <v>660</v>
      </c>
      <c r="F539" s="49" t="s">
        <v>661</v>
      </c>
      <c r="G539" s="61">
        <v>1300</v>
      </c>
      <c r="H539" s="51"/>
      <c r="I539" s="61">
        <f t="shared" si="42"/>
        <v>1300</v>
      </c>
      <c r="J539" s="52">
        <v>1</v>
      </c>
      <c r="K539" s="61">
        <f t="shared" si="43"/>
        <v>1300</v>
      </c>
      <c r="L539" s="54"/>
      <c r="M539" s="54"/>
      <c r="N539" s="54"/>
    </row>
    <row r="540" spans="1:14" ht="24" customHeight="1" x14ac:dyDescent="0.25">
      <c r="A540" s="70">
        <v>154</v>
      </c>
      <c r="B540" s="79" t="s">
        <v>71</v>
      </c>
      <c r="C540" s="131"/>
      <c r="D540" s="49" t="s">
        <v>663</v>
      </c>
      <c r="E540" s="49" t="s">
        <v>664</v>
      </c>
      <c r="F540" s="49" t="s">
        <v>573</v>
      </c>
      <c r="G540" s="61">
        <v>76972</v>
      </c>
      <c r="H540" s="51"/>
      <c r="I540" s="61">
        <f t="shared" si="42"/>
        <v>76972</v>
      </c>
      <c r="J540" s="52">
        <v>1</v>
      </c>
      <c r="K540" s="61">
        <f t="shared" si="43"/>
        <v>76972</v>
      </c>
      <c r="L540" s="54"/>
      <c r="M540" s="54"/>
      <c r="N540" s="54"/>
    </row>
    <row r="541" spans="1:14" ht="24" customHeight="1" x14ac:dyDescent="0.25">
      <c r="A541" s="70">
        <v>155</v>
      </c>
      <c r="B541" s="79" t="s">
        <v>71</v>
      </c>
      <c r="C541" s="131"/>
      <c r="D541" s="49" t="s">
        <v>665</v>
      </c>
      <c r="E541" s="49" t="s">
        <v>95</v>
      </c>
      <c r="F541" s="49" t="s">
        <v>27</v>
      </c>
      <c r="G541" s="61">
        <v>130000</v>
      </c>
      <c r="H541" s="51"/>
      <c r="I541" s="61">
        <f t="shared" si="42"/>
        <v>130000</v>
      </c>
      <c r="J541" s="52">
        <v>1</v>
      </c>
      <c r="K541" s="61">
        <f t="shared" si="43"/>
        <v>130000</v>
      </c>
      <c r="L541" s="54"/>
      <c r="M541" s="54"/>
      <c r="N541" s="54"/>
    </row>
    <row r="542" spans="1:14" ht="24" customHeight="1" x14ac:dyDescent="0.25">
      <c r="A542" s="70">
        <v>156</v>
      </c>
      <c r="B542" s="79" t="s">
        <v>71</v>
      </c>
      <c r="C542" s="131"/>
      <c r="D542" s="49" t="s">
        <v>666</v>
      </c>
      <c r="E542" s="102" t="s">
        <v>28</v>
      </c>
      <c r="F542" s="101" t="s">
        <v>231</v>
      </c>
      <c r="G542" s="61">
        <v>3300</v>
      </c>
      <c r="H542" s="51"/>
      <c r="I542" s="61">
        <f t="shared" si="42"/>
        <v>3300</v>
      </c>
      <c r="J542" s="52">
        <v>1</v>
      </c>
      <c r="K542" s="61">
        <f t="shared" si="43"/>
        <v>3300</v>
      </c>
      <c r="L542" s="54"/>
      <c r="M542" s="54"/>
      <c r="N542" s="54"/>
    </row>
    <row r="543" spans="1:14" ht="24" customHeight="1" x14ac:dyDescent="0.25">
      <c r="A543" s="70">
        <v>157</v>
      </c>
      <c r="B543" s="79" t="s">
        <v>71</v>
      </c>
      <c r="C543" s="131"/>
      <c r="D543" s="52" t="s">
        <v>667</v>
      </c>
      <c r="E543" s="97" t="s">
        <v>668</v>
      </c>
      <c r="F543" s="101" t="s">
        <v>573</v>
      </c>
      <c r="G543" s="61">
        <v>69</v>
      </c>
      <c r="H543" s="51"/>
      <c r="I543" s="61">
        <f t="shared" si="42"/>
        <v>69</v>
      </c>
      <c r="J543" s="52">
        <v>150</v>
      </c>
      <c r="K543" s="61">
        <f t="shared" si="43"/>
        <v>10350</v>
      </c>
      <c r="L543" s="54"/>
      <c r="M543" s="54"/>
      <c r="N543" s="54"/>
    </row>
    <row r="544" spans="1:14" ht="24" customHeight="1" x14ac:dyDescent="0.25">
      <c r="A544" s="70">
        <v>158</v>
      </c>
      <c r="B544" s="79" t="s">
        <v>71</v>
      </c>
      <c r="C544" s="131"/>
      <c r="D544" s="49" t="s">
        <v>669</v>
      </c>
      <c r="E544" s="82" t="s">
        <v>670</v>
      </c>
      <c r="F544" s="49" t="s">
        <v>247</v>
      </c>
      <c r="G544" s="61">
        <v>6302</v>
      </c>
      <c r="H544" s="51"/>
      <c r="I544" s="61">
        <f t="shared" si="42"/>
        <v>6302</v>
      </c>
      <c r="J544" s="49">
        <v>1</v>
      </c>
      <c r="K544" s="61">
        <f t="shared" si="43"/>
        <v>6302</v>
      </c>
      <c r="L544" s="54"/>
      <c r="M544" s="54"/>
      <c r="N544" s="54"/>
    </row>
    <row r="545" spans="1:14" ht="24" customHeight="1" x14ac:dyDescent="0.3">
      <c r="A545" s="70">
        <v>159</v>
      </c>
      <c r="B545" s="79" t="s">
        <v>71</v>
      </c>
      <c r="C545" s="131"/>
      <c r="D545" s="49" t="s">
        <v>984</v>
      </c>
      <c r="E545" s="108" t="s">
        <v>985</v>
      </c>
      <c r="F545" s="71" t="s">
        <v>986</v>
      </c>
      <c r="G545" s="61">
        <v>46000</v>
      </c>
      <c r="H545" s="51"/>
      <c r="I545" s="61">
        <f t="shared" si="42"/>
        <v>46000</v>
      </c>
      <c r="J545" s="49">
        <v>2</v>
      </c>
      <c r="K545" s="61">
        <f t="shared" si="43"/>
        <v>92000</v>
      </c>
      <c r="L545" s="54"/>
      <c r="M545" s="54"/>
      <c r="N545" s="54"/>
    </row>
    <row r="546" spans="1:14" ht="24" customHeight="1" x14ac:dyDescent="0.25">
      <c r="A546" s="70">
        <v>160</v>
      </c>
      <c r="B546" s="79" t="s">
        <v>71</v>
      </c>
      <c r="C546" s="131"/>
      <c r="D546" s="49" t="s">
        <v>671</v>
      </c>
      <c r="E546" s="82" t="s">
        <v>672</v>
      </c>
      <c r="F546" s="71" t="s">
        <v>457</v>
      </c>
      <c r="G546" s="61">
        <v>6030</v>
      </c>
      <c r="H546" s="51"/>
      <c r="I546" s="61">
        <f t="shared" si="42"/>
        <v>6030</v>
      </c>
      <c r="J546" s="49">
        <v>2</v>
      </c>
      <c r="K546" s="61">
        <f t="shared" si="43"/>
        <v>12060</v>
      </c>
      <c r="L546" s="54"/>
      <c r="M546" s="54"/>
      <c r="N546" s="54"/>
    </row>
    <row r="547" spans="1:14" ht="24" customHeight="1" x14ac:dyDescent="0.25">
      <c r="A547" s="70">
        <v>161</v>
      </c>
      <c r="B547" s="79" t="s">
        <v>71</v>
      </c>
      <c r="C547" s="131"/>
      <c r="D547" s="49" t="s">
        <v>673</v>
      </c>
      <c r="E547" s="82" t="s">
        <v>674</v>
      </c>
      <c r="F547" s="71" t="s">
        <v>457</v>
      </c>
      <c r="G547" s="61">
        <v>8910</v>
      </c>
      <c r="H547" s="51"/>
      <c r="I547" s="61">
        <f t="shared" si="42"/>
        <v>8910</v>
      </c>
      <c r="J547" s="49">
        <v>1</v>
      </c>
      <c r="K547" s="61">
        <f t="shared" si="43"/>
        <v>8910</v>
      </c>
      <c r="L547" s="54"/>
      <c r="M547" s="54"/>
      <c r="N547" s="54"/>
    </row>
    <row r="548" spans="1:14" ht="24" customHeight="1" x14ac:dyDescent="0.25">
      <c r="A548" s="70">
        <v>162</v>
      </c>
      <c r="B548" s="79" t="s">
        <v>71</v>
      </c>
      <c r="C548" s="131"/>
      <c r="D548" s="103" t="s">
        <v>6</v>
      </c>
      <c r="E548" s="109" t="s">
        <v>25</v>
      </c>
      <c r="F548" s="98" t="s">
        <v>94</v>
      </c>
      <c r="G548" s="61">
        <v>1190</v>
      </c>
      <c r="H548" s="51"/>
      <c r="I548" s="61">
        <f t="shared" si="42"/>
        <v>1190</v>
      </c>
      <c r="J548" s="103">
        <v>3</v>
      </c>
      <c r="K548" s="61">
        <f t="shared" si="43"/>
        <v>3570</v>
      </c>
      <c r="L548" s="54"/>
      <c r="M548" s="54"/>
      <c r="N548" s="54"/>
    </row>
    <row r="549" spans="1:14" ht="24" customHeight="1" x14ac:dyDescent="0.25">
      <c r="A549" s="70">
        <v>163</v>
      </c>
      <c r="B549" s="79" t="s">
        <v>71</v>
      </c>
      <c r="C549" s="20" t="s">
        <v>973</v>
      </c>
      <c r="D549" s="103" t="s">
        <v>976</v>
      </c>
      <c r="E549" s="109" t="s">
        <v>977</v>
      </c>
      <c r="F549" s="98" t="s">
        <v>231</v>
      </c>
      <c r="G549" s="61">
        <v>18700</v>
      </c>
      <c r="H549" s="51"/>
      <c r="I549" s="61">
        <f t="shared" si="42"/>
        <v>18700</v>
      </c>
      <c r="J549" s="103">
        <v>5</v>
      </c>
      <c r="K549" s="61">
        <f t="shared" si="43"/>
        <v>93500</v>
      </c>
      <c r="L549" s="54"/>
      <c r="M549" s="54"/>
      <c r="N549" s="54"/>
    </row>
    <row r="550" spans="1:14" ht="24" customHeight="1" x14ac:dyDescent="0.25">
      <c r="A550" s="70">
        <v>164</v>
      </c>
      <c r="B550" s="79" t="s">
        <v>71</v>
      </c>
      <c r="C550" s="20" t="s">
        <v>975</v>
      </c>
      <c r="D550" s="103" t="s">
        <v>974</v>
      </c>
      <c r="E550" s="109" t="s">
        <v>978</v>
      </c>
      <c r="F550" s="98" t="s">
        <v>231</v>
      </c>
      <c r="G550" s="61">
        <v>28700</v>
      </c>
      <c r="H550" s="51"/>
      <c r="I550" s="61">
        <f t="shared" si="42"/>
        <v>28700</v>
      </c>
      <c r="J550" s="103">
        <v>5</v>
      </c>
      <c r="K550" s="61">
        <f t="shared" si="43"/>
        <v>143500</v>
      </c>
      <c r="L550" s="54"/>
      <c r="M550" s="54"/>
      <c r="N550" s="54"/>
    </row>
    <row r="551" spans="1:14" ht="24" customHeight="1" x14ac:dyDescent="0.25">
      <c r="A551" s="62"/>
      <c r="B551" s="21"/>
      <c r="C551" s="63"/>
      <c r="D551" s="39" t="s">
        <v>48</v>
      </c>
      <c r="E551" s="39"/>
      <c r="F551" s="63"/>
      <c r="G551" s="40"/>
      <c r="H551" s="40"/>
      <c r="I551" s="40"/>
      <c r="J551" s="39"/>
      <c r="K551" s="40">
        <f>SUM(K387:K550)</f>
        <v>1643380</v>
      </c>
      <c r="L551" s="54"/>
      <c r="M551" s="54"/>
      <c r="N551" s="54"/>
    </row>
    <row r="552" spans="1:14" ht="24" customHeight="1" x14ac:dyDescent="0.25">
      <c r="A552" s="64"/>
      <c r="B552" s="41"/>
      <c r="C552" s="41"/>
      <c r="D552" s="41" t="s">
        <v>63</v>
      </c>
      <c r="E552" s="65"/>
      <c r="F552" s="41"/>
      <c r="G552" s="66"/>
      <c r="H552" s="66"/>
      <c r="I552" s="66"/>
      <c r="J552" s="41"/>
      <c r="K552" s="66">
        <f>K23+K83+K119+K201+K206+K242+K386+K551</f>
        <v>53038286.75</v>
      </c>
      <c r="L552" s="54"/>
      <c r="M552" s="54"/>
      <c r="N552" s="54"/>
    </row>
    <row r="553" spans="1:14" ht="33" x14ac:dyDescent="0.25">
      <c r="A553" s="67"/>
      <c r="B553" s="54"/>
      <c r="C553" s="55"/>
      <c r="D553" s="54"/>
      <c r="E553" s="54"/>
      <c r="F553" s="54"/>
      <c r="G553" s="54"/>
      <c r="H553" s="54"/>
      <c r="I553" s="55"/>
      <c r="J553" s="54"/>
      <c r="K553" s="68" t="s">
        <v>98</v>
      </c>
      <c r="L553" s="54"/>
      <c r="M553" s="54"/>
      <c r="N553" s="54"/>
    </row>
    <row r="554" spans="1:14" ht="24" customHeight="1" x14ac:dyDescent="0.25"/>
    <row r="555" spans="1:14" ht="24" customHeight="1" x14ac:dyDescent="0.25"/>
    <row r="556" spans="1:14" ht="24" customHeight="1" x14ac:dyDescent="0.25"/>
    <row r="557" spans="1:14" ht="24" customHeight="1" x14ac:dyDescent="0.25"/>
  </sheetData>
  <mergeCells count="79">
    <mergeCell ref="C323:C352"/>
    <mergeCell ref="C353:C375"/>
    <mergeCell ref="C376:C385"/>
    <mergeCell ref="C407:C424"/>
    <mergeCell ref="C387:C400"/>
    <mergeCell ref="C401:C406"/>
    <mergeCell ref="D272:D284"/>
    <mergeCell ref="C243:C271"/>
    <mergeCell ref="C129:C138"/>
    <mergeCell ref="C139:C149"/>
    <mergeCell ref="C150:C161"/>
    <mergeCell ref="C162:C164"/>
    <mergeCell ref="D518:D519"/>
    <mergeCell ref="C521:C533"/>
    <mergeCell ref="C534:C548"/>
    <mergeCell ref="C515:C520"/>
    <mergeCell ref="C511:C514"/>
    <mergeCell ref="D495:D496"/>
    <mergeCell ref="D499:D500"/>
    <mergeCell ref="C481:C505"/>
    <mergeCell ref="C506:C510"/>
    <mergeCell ref="D452:D456"/>
    <mergeCell ref="C459:C472"/>
    <mergeCell ref="C473:C480"/>
    <mergeCell ref="D474:D475"/>
    <mergeCell ref="C425:C432"/>
    <mergeCell ref="C433:C458"/>
    <mergeCell ref="D26:D27"/>
    <mergeCell ref="D28:D29"/>
    <mergeCell ref="C300:C308"/>
    <mergeCell ref="C309:C313"/>
    <mergeCell ref="C314:C322"/>
    <mergeCell ref="C272:C299"/>
    <mergeCell ref="D31:D32"/>
    <mergeCell ref="C24:C32"/>
    <mergeCell ref="C84:C86"/>
    <mergeCell ref="C54:C63"/>
    <mergeCell ref="D54:D58"/>
    <mergeCell ref="C112:C113"/>
    <mergeCell ref="C120:C128"/>
    <mergeCell ref="C40:C44"/>
    <mergeCell ref="A1:G2"/>
    <mergeCell ref="C5:C8"/>
    <mergeCell ref="C19:C22"/>
    <mergeCell ref="C16:C18"/>
    <mergeCell ref="C33:C39"/>
    <mergeCell ref="D36:D37"/>
    <mergeCell ref="C9:C15"/>
    <mergeCell ref="D45:D46"/>
    <mergeCell ref="D50:D51"/>
    <mergeCell ref="D52:D53"/>
    <mergeCell ref="D70:D74"/>
    <mergeCell ref="C70:C74"/>
    <mergeCell ref="D59:D63"/>
    <mergeCell ref="C64:C69"/>
    <mergeCell ref="D64:D65"/>
    <mergeCell ref="D67:D68"/>
    <mergeCell ref="C45:C53"/>
    <mergeCell ref="C75:C82"/>
    <mergeCell ref="C108:C111"/>
    <mergeCell ref="C209:C211"/>
    <mergeCell ref="D209:D211"/>
    <mergeCell ref="C212:C239"/>
    <mergeCell ref="D203:D204"/>
    <mergeCell ref="D207:D208"/>
    <mergeCell ref="D183:D185"/>
    <mergeCell ref="D186:D200"/>
    <mergeCell ref="C96:C107"/>
    <mergeCell ref="C114:C118"/>
    <mergeCell ref="C92:C95"/>
    <mergeCell ref="C87:C90"/>
    <mergeCell ref="C240:C241"/>
    <mergeCell ref="C165:C168"/>
    <mergeCell ref="C169:C176"/>
    <mergeCell ref="C177:C182"/>
    <mergeCell ref="C202:C205"/>
    <mergeCell ref="C207:C208"/>
    <mergeCell ref="C183:C185"/>
    <mergeCell ref="C186:C200"/>
  </mergeCells>
  <phoneticPr fontId="21" type="noConversion"/>
  <printOptions horizontalCentered="1"/>
  <pageMargins left="0.2361111044883728" right="0.2361111044883728" top="0.74791663885116577" bottom="0.74791663885116577" header="0.31486111879348755" footer="0.31486111879348755"/>
  <pageSetup scale="10" orientation="landscape" r:id="rId1"/>
  <headerFooter alignWithMargins="0"/>
  <rowBreaks count="4" manualBreakCount="4">
    <brk id="119" max="16383" man="1"/>
    <brk id="385" max="16383" man="1"/>
    <brk id="551" max="16383" man="1"/>
    <brk id="55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종합</vt:lpstr>
      <vt:lpstr>원가명세표</vt:lpstr>
      <vt:lpstr>원가명세표!Car</vt:lpstr>
      <vt:lpstr>원가명세표!CompCode</vt:lpstr>
      <vt:lpstr>원가명세표!Print_Titles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남궁Seok</dc:creator>
  <cp:keywords/>
  <dc:description/>
  <cp:lastModifiedBy>User</cp:lastModifiedBy>
  <cp:revision>5</cp:revision>
  <cp:lastPrinted>2023-07-14T12:22:20Z</cp:lastPrinted>
  <dcterms:created xsi:type="dcterms:W3CDTF">2018-03-30T04:56:10Z</dcterms:created>
  <dcterms:modified xsi:type="dcterms:W3CDTF">2025-07-17T15:32:19Z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F29F85E0-4FF9-1068-AB91-08002B27B3D9}" pid="253">
    <vt:lpwstr>Windows_10</vt:lpwstr>
  </property>
  <property fmtid="{F29F85E0-4FF9-1068-AB91-08002B27B3D9}" pid="254">
    <vt:lpwstr>12.0.0.535</vt:lpwstr>
  </property>
  <property fmtid="{F29F85E0-4FF9-1068-AB91-08002B27B3D9}" pid="255">
    <vt:lpwstr/>
  </property>
</Properties>
</file>