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F1E044B-6BD7-4CAE-88D3-05DC83207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HVBOX" sheetId="2" r:id="rId2"/>
    <sheet name="SDC" sheetId="3" r:id="rId3"/>
    <sheet name="BSPD" sheetId="6" r:id="rId4"/>
    <sheet name="Dischar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" l="1"/>
  <c r="S15" i="1" s="1"/>
  <c r="T17" i="1" s="1"/>
  <c r="T12" i="6"/>
  <c r="T13" i="6" s="1"/>
  <c r="U15" i="6" s="1"/>
  <c r="U51" i="2"/>
  <c r="K51" i="2"/>
  <c r="AI28" i="1"/>
  <c r="Y28" i="1"/>
  <c r="E55" i="1"/>
  <c r="K55" i="1" s="1"/>
  <c r="N8" i="6"/>
  <c r="N10" i="6"/>
  <c r="N12" i="6"/>
  <c r="N14" i="6"/>
  <c r="N16" i="6"/>
  <c r="N18" i="6"/>
  <c r="N20" i="6"/>
  <c r="N22" i="6"/>
  <c r="N24" i="6"/>
  <c r="N26" i="6"/>
  <c r="N28" i="6"/>
  <c r="N30" i="6"/>
  <c r="N32" i="6"/>
  <c r="N34" i="6"/>
  <c r="N36" i="6"/>
  <c r="N38" i="6"/>
  <c r="N40" i="6"/>
  <c r="N42" i="6"/>
  <c r="N44" i="6"/>
  <c r="N46" i="6"/>
  <c r="N12" i="5"/>
  <c r="E45" i="1"/>
  <c r="K45" i="1" s="1"/>
  <c r="N10" i="5"/>
  <c r="E51" i="1"/>
  <c r="K51" i="1" s="1"/>
  <c r="N8" i="5"/>
  <c r="E9" i="1"/>
  <c r="K9" i="1" s="1"/>
  <c r="N40" i="3"/>
  <c r="N38" i="3"/>
  <c r="N36" i="3"/>
  <c r="N34" i="3"/>
  <c r="E61" i="1"/>
  <c r="K61" i="1" s="1"/>
  <c r="N32" i="3"/>
  <c r="N24" i="3"/>
  <c r="N12" i="3"/>
  <c r="N10" i="3"/>
  <c r="N8" i="3"/>
  <c r="AC28" i="2"/>
  <c r="N22" i="3"/>
  <c r="AC24" i="2"/>
  <c r="N20" i="3"/>
  <c r="AC22" i="2"/>
  <c r="N28" i="3"/>
  <c r="AC18" i="2"/>
  <c r="AC16" i="2"/>
  <c r="N14" i="3"/>
  <c r="AC14" i="2"/>
  <c r="AC12" i="2"/>
  <c r="N43" i="2"/>
  <c r="N41" i="2"/>
  <c r="N39" i="2"/>
  <c r="N37" i="2"/>
  <c r="N35" i="2"/>
  <c r="N26" i="3"/>
  <c r="AC26" i="2"/>
  <c r="N33" i="2"/>
  <c r="N16" i="3"/>
  <c r="AC20" i="2"/>
  <c r="N31" i="2"/>
  <c r="N30" i="3"/>
  <c r="N29" i="2"/>
  <c r="N18" i="3"/>
  <c r="N27" i="2"/>
  <c r="N25" i="2"/>
  <c r="N23" i="2"/>
  <c r="E85" i="1"/>
  <c r="K85" i="1" s="1"/>
  <c r="E83" i="1"/>
  <c r="K83" i="1" s="1"/>
  <c r="E81" i="1"/>
  <c r="K81" i="1" s="1"/>
  <c r="E79" i="1"/>
  <c r="K79" i="1" s="1"/>
  <c r="E77" i="1"/>
  <c r="K77" i="1" s="1"/>
  <c r="E75" i="1"/>
  <c r="K75" i="1" s="1"/>
  <c r="E73" i="1"/>
  <c r="K73" i="1" s="1"/>
  <c r="E71" i="1"/>
  <c r="K71" i="1" s="1"/>
  <c r="E69" i="1"/>
  <c r="K69" i="1" s="1"/>
  <c r="E67" i="1"/>
  <c r="K67" i="1" s="1"/>
  <c r="E65" i="1"/>
  <c r="K65" i="1" s="1"/>
  <c r="E63" i="1"/>
  <c r="K63" i="1" s="1"/>
  <c r="E59" i="1"/>
  <c r="K59" i="1" s="1"/>
  <c r="E57" i="1"/>
  <c r="K57" i="1" s="1"/>
  <c r="E53" i="1"/>
  <c r="K53" i="1" s="1"/>
  <c r="E49" i="1"/>
  <c r="K49" i="1" s="1"/>
  <c r="E47" i="1"/>
  <c r="K47" i="1" s="1"/>
  <c r="E43" i="1"/>
  <c r="K43" i="1" s="1"/>
  <c r="E41" i="1"/>
  <c r="K41" i="1" s="1"/>
  <c r="E39" i="1"/>
  <c r="K39" i="1" s="1"/>
  <c r="E37" i="1"/>
  <c r="K37" i="1" s="1"/>
  <c r="E35" i="1"/>
  <c r="K35" i="1" s="1"/>
  <c r="E33" i="1"/>
  <c r="K33" i="1" s="1"/>
  <c r="E31" i="1"/>
  <c r="K31" i="1" s="1"/>
  <c r="E29" i="1"/>
  <c r="K29" i="1" s="1"/>
  <c r="E27" i="1"/>
  <c r="K27" i="1" s="1"/>
  <c r="E25" i="1"/>
  <c r="K25" i="1" s="1"/>
  <c r="E23" i="1"/>
  <c r="K23" i="1" s="1"/>
  <c r="E21" i="1"/>
  <c r="K21" i="1" s="1"/>
  <c r="N8" i="2"/>
  <c r="E19" i="1"/>
  <c r="K19" i="1" s="1"/>
  <c r="N21" i="2"/>
  <c r="E17" i="1"/>
  <c r="K17" i="1" s="1"/>
  <c r="N19" i="2"/>
  <c r="E15" i="1"/>
  <c r="K15" i="1" s="1"/>
  <c r="N17" i="2"/>
  <c r="N15" i="2"/>
  <c r="AC10" i="2"/>
  <c r="N11" i="2"/>
  <c r="AC8" i="2"/>
  <c r="E7" i="1"/>
  <c r="K7" i="1" s="1"/>
  <c r="E13" i="1"/>
  <c r="K13" i="1" s="1"/>
  <c r="E11" i="1"/>
  <c r="K11" i="1" s="1"/>
  <c r="P16" i="1" l="1"/>
</calcChain>
</file>

<file path=xl/sharedStrings.xml><?xml version="1.0" encoding="utf-8"?>
<sst xmlns="http://schemas.openxmlformats.org/spreadsheetml/2006/main" count="252" uniqueCount="166">
  <si>
    <t>타이머용 저항</t>
  </si>
  <si>
    <t>SDC Circuit</t>
  </si>
  <si>
    <t>Pre-Charge Circuit</t>
  </si>
  <si>
    <t>TE 3핀 커넥터</t>
  </si>
  <si>
    <t>BSPD Circuit</t>
  </si>
  <si>
    <t>릴레이 제어용 N채널 모스펫, RED LED용 모스펫</t>
  </si>
  <si>
    <t>Air1,2 / Precharge릴레이 기구적 감지</t>
  </si>
  <si>
    <t>내용</t>
  </si>
  <si>
    <t>품명</t>
  </si>
  <si>
    <t>번호</t>
  </si>
  <si>
    <t>고전압 비교용 전압 분배 저항</t>
  </si>
  <si>
    <t>절연형 DC-DC 12V 컨버터</t>
  </si>
  <si>
    <t>비교기 노이즈 제거용 커패시터</t>
  </si>
  <si>
    <t>TSAL &amp; AVI Circuit</t>
  </si>
  <si>
    <t>릴레이 역기전력 방지 환류 다이오드</t>
  </si>
  <si>
    <t>옵토커플러 전류제한 저항</t>
  </si>
  <si>
    <t>고전압 전압 분배용 저항</t>
  </si>
  <si>
    <t>TE 2핀 커넥터</t>
  </si>
  <si>
    <t>고전압 감지용 비교기</t>
  </si>
  <si>
    <t>저전압용 릴레이</t>
  </si>
  <si>
    <t>타이머용 저항2</t>
  </si>
  <si>
    <t>타이머용 커패시터</t>
  </si>
  <si>
    <t>타이머용 저항1</t>
  </si>
  <si>
    <t>2.28Hz용 비안정 RED LED용 타이머</t>
  </si>
  <si>
    <t>필요 수량</t>
  </si>
  <si>
    <t>보유 수량</t>
  </si>
  <si>
    <t>CS1-12H</t>
  </si>
  <si>
    <t>1N4004</t>
  </si>
  <si>
    <r>
      <t>960k</t>
    </r>
    <r>
      <rPr>
        <sz val="11"/>
        <color rgb="FF000000"/>
        <rFont val="Calibri"/>
      </rPr>
      <t>Ω</t>
    </r>
  </si>
  <si>
    <t>고전압 영역 +, - / AVI +,-</t>
  </si>
  <si>
    <t>GLVS 전원 공급, 외부 LED연결</t>
  </si>
  <si>
    <t>NE555</t>
  </si>
  <si>
    <t>Air1 여자 3.63s 딜레이용 타이머</t>
  </si>
  <si>
    <t>Air1, Air2, Pre-TSAL (+, -),  HV+</t>
  </si>
  <si>
    <t>GLVS 전원 공급</t>
  </si>
  <si>
    <t>Air1 제어용 모스펫</t>
  </si>
  <si>
    <t>노이즈 제거용 커패시터, 타이머용 커패시터</t>
  </si>
  <si>
    <t>단락방지 저항</t>
  </si>
  <si>
    <t xml:space="preserve">타이머 릴레이 </t>
  </si>
  <si>
    <t>초기충전 릴레이</t>
  </si>
  <si>
    <t>TE 6핀 커넥터</t>
    <phoneticPr fontId="4" type="noConversion"/>
  </si>
  <si>
    <t>10uF</t>
    <phoneticPr fontId="4" type="noConversion"/>
  </si>
  <si>
    <t>1N4004</t>
    <phoneticPr fontId="4" type="noConversion"/>
  </si>
  <si>
    <t>10k</t>
    <phoneticPr fontId="4" type="noConversion"/>
  </si>
  <si>
    <t>250k</t>
    <phoneticPr fontId="4" type="noConversion"/>
  </si>
  <si>
    <t>900k</t>
    <phoneticPr fontId="4" type="noConversion"/>
  </si>
  <si>
    <t>330k</t>
    <phoneticPr fontId="4" type="noConversion"/>
  </si>
  <si>
    <t>2.2k</t>
    <phoneticPr fontId="4" type="noConversion"/>
  </si>
  <si>
    <t>RTD 자기유지</t>
    <phoneticPr fontId="4" type="noConversion"/>
  </si>
  <si>
    <t>BSPD 10s, RTDS, HVMS(RTD 3.6s)</t>
    <phoneticPr fontId="4" type="noConversion"/>
  </si>
  <si>
    <t>릴레이 역기전력 방지 환류 다이오드</t>
    <phoneticPr fontId="4" type="noConversion"/>
  </si>
  <si>
    <t>차단회로 5직렬 릴레이</t>
    <phoneticPr fontId="4" type="noConversion"/>
  </si>
  <si>
    <t>차단회로 래칭릴레이</t>
    <phoneticPr fontId="4" type="noConversion"/>
  </si>
  <si>
    <t>BMS1, BMS2, BSPD, RTD HVMS</t>
    <phoneticPr fontId="4" type="noConversion"/>
  </si>
  <si>
    <t>IMD, RTDS, BSPD</t>
    <phoneticPr fontId="4" type="noConversion"/>
  </si>
  <si>
    <t>5V 레귤레이터</t>
    <phoneticPr fontId="4" type="noConversion"/>
  </si>
  <si>
    <t xml:space="preserve">노이즈 제거용, </t>
    <phoneticPr fontId="4" type="noConversion"/>
  </si>
  <si>
    <t>타이머용 저항</t>
    <phoneticPr fontId="4" type="noConversion"/>
  </si>
  <si>
    <t>단락방지 저항</t>
    <phoneticPr fontId="4" type="noConversion"/>
  </si>
  <si>
    <t>TE 8핀 커넥터</t>
    <phoneticPr fontId="4" type="noConversion"/>
  </si>
  <si>
    <t>TE 3핀 커넥터</t>
    <phoneticPr fontId="4" type="noConversion"/>
  </si>
  <si>
    <t>NE555P</t>
    <phoneticPr fontId="4" type="noConversion"/>
  </si>
  <si>
    <t>CS1-12H</t>
    <phoneticPr fontId="4" type="noConversion"/>
  </si>
  <si>
    <t>PC817</t>
    <phoneticPr fontId="4" type="noConversion"/>
  </si>
  <si>
    <t>DIP SW</t>
    <phoneticPr fontId="4" type="noConversion"/>
  </si>
  <si>
    <t>LM311P</t>
    <phoneticPr fontId="4" type="noConversion"/>
  </si>
  <si>
    <t>타이머 소자</t>
    <phoneticPr fontId="4" type="noConversion"/>
  </si>
  <si>
    <t>and 게이트</t>
    <phoneticPr fontId="4" type="noConversion"/>
  </si>
  <si>
    <t>노말 상황 and 게이트 릴레이</t>
    <phoneticPr fontId="4" type="noConversion"/>
  </si>
  <si>
    <t>presure, hall sensor 비교기</t>
    <phoneticPr fontId="4" type="noConversion"/>
  </si>
  <si>
    <t>and 게이트, 안정성 증가 nmos</t>
    <phoneticPr fontId="4" type="noConversion"/>
  </si>
  <si>
    <t>bspd fault pmos</t>
    <phoneticPr fontId="4" type="noConversion"/>
  </si>
  <si>
    <t xml:space="preserve">pull down 저항 </t>
    <phoneticPr fontId="4" type="noConversion"/>
  </si>
  <si>
    <t>비교기 pull up 저항</t>
    <phoneticPr fontId="4" type="noConversion"/>
  </si>
  <si>
    <t>전압 강하용 저항1</t>
    <phoneticPr fontId="4" type="noConversion"/>
  </si>
  <si>
    <t>전압 강하용 저항2</t>
    <phoneticPr fontId="4" type="noConversion"/>
  </si>
  <si>
    <t>전압 강하용 저항3</t>
    <phoneticPr fontId="4" type="noConversion"/>
  </si>
  <si>
    <t>전압 강하용 저항4</t>
    <phoneticPr fontId="4" type="noConversion"/>
  </si>
  <si>
    <t>전압 강하용 저항6</t>
    <phoneticPr fontId="4" type="noConversion"/>
  </si>
  <si>
    <t>전압 강하용 저항7</t>
    <phoneticPr fontId="4" type="noConversion"/>
  </si>
  <si>
    <t>타이머용 커패시터</t>
    <phoneticPr fontId="4" type="noConversion"/>
  </si>
  <si>
    <t>hall, presure senor, gnd</t>
    <phoneticPr fontId="4" type="noConversion"/>
  </si>
  <si>
    <t>bspd 8pin conn</t>
    <phoneticPr fontId="4" type="noConversion"/>
  </si>
  <si>
    <t>슬라이드 스위치</t>
    <phoneticPr fontId="4" type="noConversion"/>
  </si>
  <si>
    <t>REAR, HV BOX, FRONT RTD, SDC, MASTER BOARD</t>
    <phoneticPr fontId="4" type="noConversion"/>
  </si>
  <si>
    <t xml:space="preserve">BSPD </t>
    <phoneticPr fontId="4" type="noConversion"/>
  </si>
  <si>
    <t>ENERGY METER, 12V POWER</t>
    <phoneticPr fontId="4" type="noConversion"/>
  </si>
  <si>
    <t>N채널 모스펫</t>
    <phoneticPr fontId="4" type="noConversion"/>
  </si>
  <si>
    <t>P채널 모스펫</t>
    <phoneticPr fontId="4" type="noConversion"/>
  </si>
  <si>
    <t>LM7805</t>
    <phoneticPr fontId="4" type="noConversion"/>
  </si>
  <si>
    <t>1/4W 제외 수량</t>
  </si>
  <si>
    <t>1/4W 제외 수량</t>
    <phoneticPr fontId="4" type="noConversion"/>
  </si>
  <si>
    <t>G2RL2-12DC</t>
    <phoneticPr fontId="4" type="noConversion"/>
  </si>
  <si>
    <t>RT424F12</t>
    <phoneticPr fontId="4" type="noConversion"/>
  </si>
  <si>
    <t>Total</t>
    <phoneticPr fontId="4" type="noConversion"/>
  </si>
  <si>
    <t>품명</t>
    <phoneticPr fontId="4" type="noConversion"/>
  </si>
  <si>
    <t>필요수량</t>
    <phoneticPr fontId="4" type="noConversion"/>
  </si>
  <si>
    <t>보유수량</t>
    <phoneticPr fontId="4" type="noConversion"/>
  </si>
  <si>
    <t>TE 2핀 커넥터</t>
    <phoneticPr fontId="4" type="noConversion"/>
  </si>
  <si>
    <r>
      <t>960k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</si>
  <si>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40k</t>
    </r>
    <r>
      <rPr>
        <sz val="11"/>
        <color rgb="FF000000"/>
        <rFont val="맑은 고딕"/>
        <family val="3"/>
        <charset val="129"/>
      </rPr>
      <t>Ω</t>
    </r>
    <phoneticPr fontId="4" type="noConversion"/>
  </si>
  <si>
    <r>
      <t>40k</t>
    </r>
    <r>
      <rPr>
        <sz val="11"/>
        <color rgb="FF000000"/>
        <rFont val="Calibri"/>
        <family val="2"/>
      </rPr>
      <t>Ω</t>
    </r>
    <phoneticPr fontId="4" type="noConversion"/>
  </si>
  <si>
    <t>구매 필요 여부</t>
    <phoneticPr fontId="4" type="noConversion"/>
  </si>
  <si>
    <t>Discharge Circuit</t>
    <phoneticPr fontId="4" type="noConversion"/>
  </si>
  <si>
    <t>주문여부</t>
    <phoneticPr fontId="4" type="noConversion"/>
  </si>
  <si>
    <t>50V 0.1uF</t>
    <phoneticPr fontId="4" type="noConversion"/>
  </si>
  <si>
    <r>
      <t>2.4k</t>
    </r>
    <r>
      <rPr>
        <sz val="11"/>
        <color rgb="FF000000"/>
        <rFont val="Calibri"/>
      </rPr>
      <t>Ω</t>
    </r>
    <phoneticPr fontId="4" type="noConversion"/>
  </si>
  <si>
    <r>
      <t>2.4k</t>
    </r>
    <r>
      <rPr>
        <sz val="11"/>
        <color rgb="FF000000"/>
        <rFont val="Calibri"/>
        <family val="2"/>
      </rPr>
      <t>Ω</t>
    </r>
    <phoneticPr fontId="4" type="noConversion"/>
  </si>
  <si>
    <t>SPAN0E12</t>
    <phoneticPr fontId="4" type="noConversion"/>
  </si>
  <si>
    <r>
      <t>30k</t>
    </r>
    <r>
      <rPr>
        <sz val="11"/>
        <color rgb="FF000000"/>
        <rFont val="맑은 고딕"/>
        <family val="3"/>
        <charset val="129"/>
      </rPr>
      <t>Ω</t>
    </r>
    <phoneticPr fontId="4" type="noConversion"/>
  </si>
  <si>
    <r>
      <t>30k</t>
    </r>
    <r>
      <rPr>
        <sz val="11"/>
        <color rgb="FF000000"/>
        <rFont val="Calibri"/>
        <family val="2"/>
      </rPr>
      <t>Ω</t>
    </r>
    <phoneticPr fontId="4" type="noConversion"/>
  </si>
  <si>
    <r>
      <t>300k</t>
    </r>
    <r>
      <rPr>
        <sz val="11"/>
        <color rgb="FF000000"/>
        <rFont val="맑은 고딕"/>
        <family val="3"/>
        <charset val="129"/>
      </rPr>
      <t>Ω</t>
    </r>
    <phoneticPr fontId="4" type="noConversion"/>
  </si>
  <si>
    <r>
      <t>300k</t>
    </r>
    <r>
      <rPr>
        <sz val="11"/>
        <color rgb="FF000000"/>
        <rFont val="Calibri"/>
        <family val="2"/>
      </rPr>
      <t>Ω</t>
    </r>
    <phoneticPr fontId="4" type="noConversion"/>
  </si>
  <si>
    <t>1uF</t>
    <phoneticPr fontId="4" type="noConversion"/>
  </si>
  <si>
    <r>
      <t>80k</t>
    </r>
    <r>
      <rPr>
        <sz val="11"/>
        <color rgb="FF000000"/>
        <rFont val="Calibri"/>
        <family val="2"/>
      </rPr>
      <t>Ω</t>
    </r>
    <phoneticPr fontId="4" type="noConversion"/>
  </si>
  <si>
    <r>
      <t>20k</t>
    </r>
    <r>
      <rPr>
        <sz val="11"/>
        <color rgb="FF000000"/>
        <rFont val="맑은 고딕"/>
        <family val="3"/>
        <charset val="129"/>
      </rPr>
      <t>Ω</t>
    </r>
    <phoneticPr fontId="4" type="noConversion"/>
  </si>
  <si>
    <r>
      <t>20k</t>
    </r>
    <r>
      <rPr>
        <sz val="11"/>
        <color rgb="FF000000"/>
        <rFont val="Calibri"/>
        <family val="2"/>
      </rPr>
      <t>Ω</t>
    </r>
    <phoneticPr fontId="4" type="noConversion"/>
  </si>
  <si>
    <r>
      <t>330k</t>
    </r>
    <r>
      <rPr>
        <sz val="11"/>
        <color rgb="FF000000"/>
        <rFont val="Calibri"/>
        <family val="2"/>
      </rPr>
      <t>Ω</t>
    </r>
    <phoneticPr fontId="4" type="noConversion"/>
  </si>
  <si>
    <t>G2RL-2</t>
    <phoneticPr fontId="4" type="noConversion"/>
  </si>
  <si>
    <r>
      <t>10k</t>
    </r>
    <r>
      <rPr>
        <sz val="11"/>
        <color rgb="FF000000"/>
        <rFont val="Calibri"/>
        <family val="2"/>
      </rPr>
      <t>Ω</t>
    </r>
    <phoneticPr fontId="4" type="noConversion"/>
  </si>
  <si>
    <r>
      <t>HS50 2.2k</t>
    </r>
    <r>
      <rPr>
        <sz val="11"/>
        <color rgb="FF000000"/>
        <rFont val="Calibri"/>
        <family val="2"/>
      </rPr>
      <t>Ω</t>
    </r>
    <phoneticPr fontId="4" type="noConversion"/>
  </si>
  <si>
    <t>TE 10핀 커넥터</t>
    <phoneticPr fontId="4" type="noConversion"/>
  </si>
  <si>
    <r>
      <t>250k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</si>
  <si>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t>G2RL-2(TH 3개)</t>
    <phoneticPr fontId="4" type="noConversion"/>
  </si>
  <si>
    <r>
      <t>330k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</si>
  <si>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900k</t>
    </r>
    <r>
      <rPr>
        <sz val="11"/>
        <color rgb="FF000000"/>
        <rFont val="Calibri"/>
        <family val="3"/>
        <charset val="161"/>
      </rPr>
      <t>Ω</t>
    </r>
    <r>
      <rPr>
        <sz val="11"/>
        <color rgb="FF000000"/>
        <rFont val="맑은 고딕"/>
        <family val="3"/>
        <charset val="129"/>
      </rPr>
      <t>(910k</t>
    </r>
    <r>
      <rPr>
        <sz val="11"/>
        <color rgb="FF000000"/>
        <rFont val="Calibri"/>
        <family val="3"/>
        <charset val="161"/>
      </rPr>
      <t>Ω</t>
    </r>
    <r>
      <rPr>
        <sz val="11"/>
        <color rgb="FF000000"/>
        <rFont val="맑은 고딕"/>
        <family val="3"/>
        <charset val="129"/>
      </rPr>
      <t>)</t>
    </r>
    <phoneticPr fontId="4" type="noConversion"/>
  </si>
  <si>
    <r>
      <t>2.2k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</si>
  <si>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250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</si>
  <si>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2k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</si>
  <si>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3k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</si>
  <si>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47k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</si>
  <si>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70k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</si>
  <si>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90k</t>
    </r>
    <r>
      <rPr>
        <sz val="11"/>
        <color rgb="FF000000"/>
        <rFont val="Calibri"/>
        <family val="3"/>
        <charset val="161"/>
      </rPr>
      <t>Ω</t>
    </r>
    <r>
      <rPr>
        <sz val="11"/>
        <color rgb="FF000000"/>
        <rFont val="맑은 고딕"/>
        <family val="3"/>
        <charset val="129"/>
      </rPr>
      <t>(91k</t>
    </r>
    <r>
      <rPr>
        <sz val="11"/>
        <color rgb="FF000000"/>
        <rFont val="Calibri"/>
        <family val="3"/>
        <charset val="161"/>
      </rPr>
      <t>Ω</t>
    </r>
    <r>
      <rPr>
        <sz val="11"/>
        <color rgb="FF000000"/>
        <rFont val="맑은 고딕"/>
        <family val="3"/>
        <charset val="129"/>
      </rPr>
      <t>)</t>
    </r>
    <phoneticPr fontId="4" type="noConversion"/>
  </si>
  <si>
    <t>x</t>
    <phoneticPr fontId="4" type="noConversion"/>
  </si>
  <si>
    <t>y</t>
    <phoneticPr fontId="4" type="noConversion"/>
  </si>
  <si>
    <t>70k =&gt; 10k</t>
    <phoneticPr fontId="4" type="noConversion"/>
  </si>
  <si>
    <t>30k =&gt; 4.7k</t>
    <phoneticPr fontId="4" type="noConversion"/>
  </si>
  <si>
    <r>
      <t>HS50 2.2k</t>
    </r>
    <r>
      <rPr>
        <sz val="11"/>
        <color rgb="FF000000"/>
        <rFont val="맑은 고딕"/>
        <family val="2"/>
        <charset val="129"/>
      </rPr>
      <t>Ω</t>
    </r>
    <phoneticPr fontId="4" type="noConversion"/>
  </si>
  <si>
    <r>
      <t>HS50 2.2k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</si>
  <si>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t>초기충전용 저항</t>
    <phoneticPr fontId="4" type="noConversion"/>
  </si>
  <si>
    <t>방전용 저항</t>
    <phoneticPr fontId="4" type="noConversion"/>
  </si>
  <si>
    <t>방전 릴레이</t>
    <phoneticPr fontId="4" type="noConversion"/>
  </si>
  <si>
    <t>V_ref</t>
    <phoneticPr fontId="4" type="noConversion"/>
  </si>
  <si>
    <t>전압 분배 테이블</t>
    <phoneticPr fontId="4" type="noConversion"/>
  </si>
  <si>
    <t>NE555 단안정</t>
    <phoneticPr fontId="4" type="noConversion"/>
  </si>
  <si>
    <r>
      <t>80k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</si>
  <si>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t>C1 (uF)</t>
    <phoneticPr fontId="4" type="noConversion"/>
  </si>
  <si>
    <t>Time (s)</t>
    <phoneticPr fontId="4" type="noConversion"/>
  </si>
  <si>
    <t>NE555 비안정</t>
    <phoneticPr fontId="4" type="noConversion"/>
  </si>
  <si>
    <t>Frequency (Hz)</t>
    <phoneticPr fontId="4" type="noConversion"/>
  </si>
  <si>
    <r>
      <t>R1 (k</t>
    </r>
    <r>
      <rPr>
        <b/>
        <sz val="14"/>
        <color rgb="FF000000"/>
        <rFont val="Calibri"/>
        <family val="3"/>
        <charset val="161"/>
      </rPr>
      <t>Ω</t>
    </r>
    <r>
      <rPr>
        <b/>
        <sz val="14"/>
        <color rgb="FF000000"/>
        <rFont val="맑은 고딕"/>
        <family val="3"/>
        <charset val="129"/>
      </rPr>
      <t>)</t>
    </r>
    <phoneticPr fontId="4" type="noConversion"/>
  </si>
  <si>
    <r>
      <t>R2 (k</t>
    </r>
    <r>
      <rPr>
        <b/>
        <sz val="14"/>
        <color rgb="FF000000"/>
        <rFont val="Calibri"/>
        <family val="3"/>
        <charset val="161"/>
      </rPr>
      <t>Ω</t>
    </r>
    <r>
      <rPr>
        <b/>
        <sz val="14"/>
        <color rgb="FF000000"/>
        <rFont val="맑은 고딕"/>
        <family val="3"/>
        <charset val="129"/>
      </rPr>
      <t>)</t>
    </r>
    <phoneticPr fontId="4" type="noConversion"/>
  </si>
  <si>
    <t>구매처</t>
    <phoneticPr fontId="4" type="noConversion"/>
  </si>
  <si>
    <t>https://www.digikey.kr/</t>
    <phoneticPr fontId="4" type="noConversion"/>
  </si>
  <si>
    <t>https://www.devicemart.co.kr/main/index</t>
    <phoneticPr fontId="4" type="noConversion"/>
  </si>
  <si>
    <t>https://www.mouser.kr/</t>
    <phoneticPr fontId="4" type="noConversion"/>
  </si>
  <si>
    <t>https://www.eleparts.co.kr/main/index</t>
    <phoneticPr fontId="4" type="noConversion"/>
  </si>
  <si>
    <t>ID</t>
    <phoneticPr fontId="4" type="noConversion"/>
  </si>
  <si>
    <t>PW</t>
    <phoneticPr fontId="4" type="noConversion"/>
  </si>
  <si>
    <t>주소지</t>
    <phoneticPr fontId="4" type="noConversion"/>
  </si>
  <si>
    <t>V_in</t>
    <phoneticPr fontId="4" type="noConversion"/>
  </si>
  <si>
    <r>
      <t>10k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</si>
  <si>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 xml:space="preserve">2.4k 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</si>
  <si>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r>
      <t>90k</t>
    </r>
    <r>
      <rPr>
        <sz val="11"/>
        <color rgb="FF000000"/>
        <rFont val="Calibri"/>
        <family val="3"/>
        <charset val="161"/>
      </rPr>
      <t>Ω</t>
    </r>
    <phoneticPr fontId="4" type="noConversion"/>
  </si>
  <si>
    <t>0.5s 딜레이용 저항</t>
    <phoneticPr fontId="4" type="noConversion"/>
  </si>
  <si>
    <t>이민성 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</si>
</sst>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2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24"/>
      <color rgb="FFFFFFFF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Calibri"/>
      <family val="3"/>
      <charset val="161"/>
    </font>
    <font>
      <sz val="11"/>
      <color rgb="FF000000"/>
      <name val="Calibri"/>
      <family val="2"/>
    </font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sz val="16"/>
      <color rgb="FFFF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14"/>
      <color rgb="FF000000"/>
      <name val="Calibri"/>
      <family val="3"/>
      <charset val="161"/>
    </font>
    <font>
      <u/>
      <sz val="11"/>
      <color theme="1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24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26" xfId="0" applyBorder="1">
      <alignment vertical="center"/>
    </xf>
    <xf numFmtId="0" fontId="1" fillId="0" borderId="32" xfId="0" applyFont="1" applyBorder="1">
      <alignment vertical="center"/>
    </xf>
    <xf numFmtId="0" fontId="0" fillId="0" borderId="37" xfId="0" applyBorder="1">
      <alignment vertical="center"/>
    </xf>
    <xf numFmtId="0" fontId="1" fillId="0" borderId="23" xfId="0" applyFont="1" applyBorder="1">
      <alignment vertical="center"/>
    </xf>
    <xf numFmtId="0" fontId="0" fillId="0" borderId="24" xfId="0" applyBorder="1">
      <alignment vertical="center"/>
    </xf>
    <xf numFmtId="0" fontId="1" fillId="0" borderId="37" xfId="0" applyFont="1" applyBorder="1">
      <alignment vertical="center"/>
    </xf>
    <xf numFmtId="0" fontId="0" fillId="0" borderId="18" xfId="0" applyBorder="1">
      <alignment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8" fillId="0" borderId="32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176" fontId="13" fillId="5" borderId="22" xfId="0" applyNumberFormat="1" applyFont="1" applyFill="1" applyBorder="1" applyAlignment="1">
      <alignment horizontal="center" vertical="center"/>
    </xf>
    <xf numFmtId="176" fontId="13" fillId="5" borderId="20" xfId="0" applyNumberFormat="1" applyFont="1" applyFill="1" applyBorder="1" applyAlignment="1">
      <alignment horizontal="center" vertical="center"/>
    </xf>
    <xf numFmtId="176" fontId="13" fillId="5" borderId="23" xfId="0" applyNumberFormat="1" applyFont="1" applyFill="1" applyBorder="1" applyAlignment="1">
      <alignment horizontal="center" vertical="center"/>
    </xf>
    <xf numFmtId="176" fontId="13" fillId="5" borderId="35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Alignment="1">
      <alignment horizontal="center" vertical="center"/>
    </xf>
    <xf numFmtId="176" fontId="13" fillId="5" borderId="36" xfId="0" applyNumberFormat="1" applyFont="1" applyFill="1" applyBorder="1" applyAlignment="1">
      <alignment horizontal="center" vertical="center"/>
    </xf>
    <xf numFmtId="176" fontId="13" fillId="5" borderId="24" xfId="0" applyNumberFormat="1" applyFont="1" applyFill="1" applyBorder="1" applyAlignment="1">
      <alignment horizontal="center" vertical="center"/>
    </xf>
    <xf numFmtId="176" fontId="13" fillId="5" borderId="26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22" xfId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54429</xdr:colOff>
      <xdr:row>32</xdr:row>
      <xdr:rowOff>51707</xdr:rowOff>
    </xdr:from>
    <xdr:ext cx="5902778" cy="4063093"/>
    <xdr:pic>
      <xdr:nvPicPr>
        <xdr:cNvPr id="2" name="그림 1">
          <a:extLst>
            <a:ext uri="{FF2B5EF4-FFF2-40B4-BE49-F238E27FC236}">
              <a16:creationId xmlns:a16="http://schemas.microsoft.com/office/drawing/2014/main" id="{8ED1E4C0-EDB2-4BF7-87DF-427780BC5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74938" y="7477743"/>
          <a:ext cx="5902778" cy="4063093"/>
        </a:xfrm>
        <a:prstGeom prst="rect">
          <a:avLst/>
        </a:prstGeom>
      </xdr:spPr>
    </xdr:pic>
    <xdr:clientData/>
  </xdr:oneCellAnchor>
  <xdr:oneCellAnchor>
    <xdr:from>
      <xdr:col>15</xdr:col>
      <xdr:colOff>19050</xdr:colOff>
      <xdr:row>32</xdr:row>
      <xdr:rowOff>38100</xdr:rowOff>
    </xdr:from>
    <xdr:ext cx="7979229" cy="4076700"/>
    <xdr:pic>
      <xdr:nvPicPr>
        <xdr:cNvPr id="3" name="그림 2">
          <a:extLst>
            <a:ext uri="{FF2B5EF4-FFF2-40B4-BE49-F238E27FC236}">
              <a16:creationId xmlns:a16="http://schemas.microsoft.com/office/drawing/2014/main" id="{F2E576E7-5EA1-4AE2-B554-4EAE70FA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4323" y="7464136"/>
          <a:ext cx="7979229" cy="4076700"/>
        </a:xfrm>
        <a:prstGeom prst="rect">
          <a:avLst/>
        </a:prstGeom>
      </xdr:spPr>
    </xdr:pic>
    <xdr:clientData/>
  </xdr:oneCellAnchor>
  <xdr:oneCellAnchor>
    <xdr:from>
      <xdr:col>14</xdr:col>
      <xdr:colOff>642259</xdr:colOff>
      <xdr:row>17</xdr:row>
      <xdr:rowOff>55429</xdr:rowOff>
    </xdr:from>
    <xdr:ext cx="3418114" cy="1299105"/>
    <xdr:pic>
      <xdr:nvPicPr>
        <xdr:cNvPr id="5" name="그림 4">
          <a:extLst>
            <a:ext uri="{FF2B5EF4-FFF2-40B4-BE49-F238E27FC236}">
              <a16:creationId xmlns:a16="http://schemas.microsoft.com/office/drawing/2014/main" id="{8F63DCCD-A6BB-4CF2-A333-DD386B1F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00659" y="3446329"/>
          <a:ext cx="3418114" cy="12991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54429</xdr:colOff>
      <xdr:row>55</xdr:row>
      <xdr:rowOff>51707</xdr:rowOff>
    </xdr:from>
    <xdr:ext cx="5902778" cy="4063093"/>
    <xdr:pic>
      <xdr:nvPicPr>
        <xdr:cNvPr id="4" name="그림 3">
          <a:extLst>
            <a:ext uri="{FF2B5EF4-FFF2-40B4-BE49-F238E27FC236}">
              <a16:creationId xmlns:a16="http://schemas.microsoft.com/office/drawing/2014/main" id="{74C36274-F0E5-4AC4-87A1-09A52C332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30109" y="6856367"/>
          <a:ext cx="5902778" cy="4063093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</xdr:row>
      <xdr:rowOff>38100</xdr:rowOff>
    </xdr:from>
    <xdr:ext cx="7979229" cy="4076700"/>
    <xdr:pic>
      <xdr:nvPicPr>
        <xdr:cNvPr id="5" name="그림 4">
          <a:extLst>
            <a:ext uri="{FF2B5EF4-FFF2-40B4-BE49-F238E27FC236}">
              <a16:creationId xmlns:a16="http://schemas.microsoft.com/office/drawing/2014/main" id="{8E2B49A7-816B-4D33-9F5B-60D83E69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7450" y="6842760"/>
          <a:ext cx="7979229" cy="4076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642259</xdr:colOff>
      <xdr:row>15</xdr:row>
      <xdr:rowOff>55429</xdr:rowOff>
    </xdr:from>
    <xdr:ext cx="3418114" cy="1299105"/>
    <xdr:pic>
      <xdr:nvPicPr>
        <xdr:cNvPr id="2" name="그림 1">
          <a:extLst>
            <a:ext uri="{FF2B5EF4-FFF2-40B4-BE49-F238E27FC236}">
              <a16:creationId xmlns:a16="http://schemas.microsoft.com/office/drawing/2014/main" id="{B6429838-FF4B-ABD7-7ACF-AC44D4D5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5973" y="3430000"/>
          <a:ext cx="3418114" cy="1299105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kr/" TargetMode="External"/><Relationship Id="rId2" Type="http://schemas.openxmlformats.org/officeDocument/2006/relationships/hyperlink" Target="https://www.devicemart.co.kr/main/index" TargetMode="External"/><Relationship Id="rId1" Type="http://schemas.openxmlformats.org/officeDocument/2006/relationships/hyperlink" Target="https://www.digikey.kr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eleparts.co.kr/main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K86"/>
  <sheetViews>
    <sheetView tabSelected="1" topLeftCell="A35" zoomScaleNormal="100" zoomScaleSheetLayoutView="75" workbookViewId="0">
      <selection activeCell="H83" sqref="H83:J84"/>
    </sheetView>
  </sheetViews>
  <sheetFormatPr defaultColWidth="8.796875" defaultRowHeight="17.399999999999999" x14ac:dyDescent="0.4"/>
  <cols>
    <col min="11" max="11" width="8.796875" customWidth="1"/>
  </cols>
  <sheetData>
    <row r="1" spans="2:30" ht="18" thickBot="1" x14ac:dyDescent="0.45"/>
    <row r="2" spans="2:30" ht="17.399999999999999" customHeight="1" thickBot="1" x14ac:dyDescent="0.45">
      <c r="B2" s="104" t="s">
        <v>94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2"/>
      <c r="P2" s="73" t="s">
        <v>152</v>
      </c>
      <c r="Q2" s="74"/>
      <c r="R2" s="74"/>
      <c r="S2" s="74"/>
      <c r="T2" s="74"/>
      <c r="U2" s="74"/>
      <c r="V2" s="74"/>
      <c r="W2" s="75"/>
      <c r="X2" s="73" t="s">
        <v>157</v>
      </c>
      <c r="Y2" s="74"/>
      <c r="Z2" s="75"/>
      <c r="AA2" s="73" t="s">
        <v>158</v>
      </c>
      <c r="AB2" s="74"/>
      <c r="AC2" s="74"/>
      <c r="AD2" s="75"/>
    </row>
    <row r="3" spans="2:30" ht="17.399999999999999" customHeight="1" x14ac:dyDescent="0.4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2"/>
      <c r="P3" s="82" t="s">
        <v>153</v>
      </c>
      <c r="Q3" s="59"/>
      <c r="R3" s="59"/>
      <c r="S3" s="59"/>
      <c r="T3" s="59"/>
      <c r="U3" s="59"/>
      <c r="V3" s="59"/>
      <c r="W3" s="60"/>
      <c r="X3" s="58"/>
      <c r="Y3" s="59"/>
      <c r="Z3" s="60"/>
      <c r="AA3" s="58"/>
      <c r="AB3" s="59"/>
      <c r="AC3" s="59"/>
      <c r="AD3" s="60"/>
    </row>
    <row r="4" spans="2:30" ht="17.399999999999999" customHeight="1" thickBot="1" x14ac:dyDescent="0.45"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2"/>
      <c r="P4" s="61"/>
      <c r="Q4" s="62"/>
      <c r="R4" s="62"/>
      <c r="S4" s="62"/>
      <c r="T4" s="62"/>
      <c r="U4" s="62"/>
      <c r="V4" s="62"/>
      <c r="W4" s="63"/>
      <c r="X4" s="61"/>
      <c r="Y4" s="62"/>
      <c r="Z4" s="63"/>
      <c r="AA4" s="61"/>
      <c r="AB4" s="62"/>
      <c r="AC4" s="62"/>
      <c r="AD4" s="63"/>
    </row>
    <row r="5" spans="2:30" ht="17.399999999999999" customHeight="1" thickBot="1" x14ac:dyDescent="0.45">
      <c r="B5" s="108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2"/>
      <c r="P5" s="82" t="s">
        <v>154</v>
      </c>
      <c r="Q5" s="59"/>
      <c r="R5" s="59"/>
      <c r="S5" s="59"/>
      <c r="T5" s="59"/>
      <c r="U5" s="59"/>
      <c r="V5" s="59"/>
      <c r="W5" s="60"/>
      <c r="X5" s="58"/>
      <c r="Y5" s="59"/>
      <c r="Z5" s="60"/>
      <c r="AA5" s="58"/>
      <c r="AB5" s="59"/>
      <c r="AC5" s="59"/>
      <c r="AD5" s="60"/>
    </row>
    <row r="6" spans="2:30" ht="21.6" thickBot="1" x14ac:dyDescent="0.45">
      <c r="B6" s="98" t="s">
        <v>95</v>
      </c>
      <c r="C6" s="99"/>
      <c r="D6" s="100"/>
      <c r="E6" s="98" t="s">
        <v>96</v>
      </c>
      <c r="F6" s="99"/>
      <c r="G6" s="100"/>
      <c r="H6" s="98" t="s">
        <v>97</v>
      </c>
      <c r="I6" s="99"/>
      <c r="J6" s="100"/>
      <c r="K6" s="98" t="s">
        <v>102</v>
      </c>
      <c r="L6" s="100"/>
      <c r="M6" s="98" t="s">
        <v>104</v>
      </c>
      <c r="N6" s="100"/>
      <c r="P6" s="61"/>
      <c r="Q6" s="62"/>
      <c r="R6" s="62"/>
      <c r="S6" s="62"/>
      <c r="T6" s="62"/>
      <c r="U6" s="62"/>
      <c r="V6" s="62"/>
      <c r="W6" s="63"/>
      <c r="X6" s="61"/>
      <c r="Y6" s="62"/>
      <c r="Z6" s="63"/>
      <c r="AA6" s="61"/>
      <c r="AB6" s="62"/>
      <c r="AC6" s="62"/>
      <c r="AD6" s="63"/>
    </row>
    <row r="7" spans="2:30" x14ac:dyDescent="0.4">
      <c r="B7" s="101" t="s">
        <v>60</v>
      </c>
      <c r="C7" s="59"/>
      <c r="D7" s="102"/>
      <c r="E7" s="103">
        <f>HVBOX!L8+HVBOX!AA8+BSPD!L10</f>
        <v>4</v>
      </c>
      <c r="F7" s="103"/>
      <c r="G7" s="103"/>
      <c r="H7" s="103">
        <v>23</v>
      </c>
      <c r="I7" s="103"/>
      <c r="J7" s="103"/>
      <c r="K7" s="95" t="str">
        <f>IF(2*E7&gt;H7, "O", "")</f>
        <v/>
      </c>
      <c r="L7" s="95"/>
      <c r="M7" s="92" t="b">
        <v>0</v>
      </c>
      <c r="N7" s="92"/>
      <c r="P7" s="82" t="s">
        <v>155</v>
      </c>
      <c r="Q7" s="59"/>
      <c r="R7" s="59"/>
      <c r="S7" s="59"/>
      <c r="T7" s="59"/>
      <c r="U7" s="59"/>
      <c r="V7" s="59"/>
      <c r="W7" s="60"/>
      <c r="X7" s="58"/>
      <c r="Y7" s="59"/>
      <c r="Z7" s="60"/>
      <c r="AA7" s="58"/>
      <c r="AB7" s="59"/>
      <c r="AC7" s="59"/>
      <c r="AD7" s="60"/>
    </row>
    <row r="8" spans="2:30" ht="18" thickBot="1" x14ac:dyDescent="0.45">
      <c r="B8" s="79"/>
      <c r="C8" s="80"/>
      <c r="D8" s="81"/>
      <c r="E8" s="94"/>
      <c r="F8" s="94"/>
      <c r="G8" s="94"/>
      <c r="H8" s="94"/>
      <c r="I8" s="94"/>
      <c r="J8" s="94"/>
      <c r="K8" s="96"/>
      <c r="L8" s="96"/>
      <c r="M8" s="93"/>
      <c r="N8" s="93"/>
      <c r="P8" s="61"/>
      <c r="Q8" s="62"/>
      <c r="R8" s="62"/>
      <c r="S8" s="62"/>
      <c r="T8" s="62"/>
      <c r="U8" s="62"/>
      <c r="V8" s="62"/>
      <c r="W8" s="63"/>
      <c r="X8" s="61"/>
      <c r="Y8" s="62"/>
      <c r="Z8" s="63"/>
      <c r="AA8" s="61"/>
      <c r="AB8" s="62"/>
      <c r="AC8" s="62"/>
      <c r="AD8" s="63"/>
    </row>
    <row r="9" spans="2:30" x14ac:dyDescent="0.4">
      <c r="B9" s="76" t="s">
        <v>98</v>
      </c>
      <c r="C9" s="77"/>
      <c r="D9" s="78"/>
      <c r="E9" s="94">
        <f>HVBOX!L11+HVBOX!AA10+Discharge!L8</f>
        <v>12</v>
      </c>
      <c r="F9" s="94"/>
      <c r="G9" s="94"/>
      <c r="H9" s="94">
        <v>26</v>
      </c>
      <c r="I9" s="94"/>
      <c r="J9" s="94"/>
      <c r="K9" s="95" t="str">
        <f t="shared" ref="K9" si="0">IF(2*E9&gt;H9, "O", "")</f>
        <v/>
      </c>
      <c r="L9" s="95"/>
      <c r="M9" s="92" t="b">
        <v>0</v>
      </c>
      <c r="N9" s="92"/>
      <c r="P9" s="82" t="s">
        <v>156</v>
      </c>
      <c r="Q9" s="59"/>
      <c r="R9" s="59"/>
      <c r="S9" s="59"/>
      <c r="T9" s="59"/>
      <c r="U9" s="59"/>
      <c r="V9" s="59"/>
      <c r="W9" s="60"/>
      <c r="X9" s="58"/>
      <c r="Y9" s="59"/>
      <c r="Z9" s="60"/>
      <c r="AA9" s="58"/>
      <c r="AB9" s="59"/>
      <c r="AC9" s="59"/>
      <c r="AD9" s="60"/>
    </row>
    <row r="10" spans="2:30" ht="18" thickBot="1" x14ac:dyDescent="0.45">
      <c r="B10" s="79"/>
      <c r="C10" s="80"/>
      <c r="D10" s="81"/>
      <c r="E10" s="94"/>
      <c r="F10" s="94"/>
      <c r="G10" s="94"/>
      <c r="H10" s="94"/>
      <c r="I10" s="94"/>
      <c r="J10" s="94"/>
      <c r="K10" s="96"/>
      <c r="L10" s="96"/>
      <c r="M10" s="93"/>
      <c r="N10" s="93"/>
      <c r="P10" s="61"/>
      <c r="Q10" s="62"/>
      <c r="R10" s="62"/>
      <c r="S10" s="62"/>
      <c r="T10" s="62"/>
      <c r="U10" s="62"/>
      <c r="V10" s="62"/>
      <c r="W10" s="63"/>
      <c r="X10" s="61"/>
      <c r="Y10" s="62"/>
      <c r="Z10" s="63"/>
      <c r="AA10" s="61"/>
      <c r="AB10" s="62"/>
      <c r="AC10" s="62"/>
      <c r="AD10" s="63"/>
    </row>
    <row r="11" spans="2:30" ht="18" thickBot="1" x14ac:dyDescent="0.45">
      <c r="B11" s="76" t="s">
        <v>99</v>
      </c>
      <c r="C11" s="77"/>
      <c r="D11" s="78"/>
      <c r="E11" s="97">
        <f>HVBOX!L15</f>
        <v>1</v>
      </c>
      <c r="F11" s="77"/>
      <c r="G11" s="78"/>
      <c r="H11" s="97">
        <v>10</v>
      </c>
      <c r="I11" s="77"/>
      <c r="J11" s="78"/>
      <c r="K11" s="95" t="str">
        <f t="shared" ref="K11" si="1">IF(2*E11&gt;H11, "O", "")</f>
        <v/>
      </c>
      <c r="L11" s="95"/>
      <c r="M11" s="92" t="b">
        <v>0</v>
      </c>
      <c r="N11" s="92"/>
    </row>
    <row r="12" spans="2:30" ht="18" thickBot="1" x14ac:dyDescent="0.45">
      <c r="B12" s="79"/>
      <c r="C12" s="80"/>
      <c r="D12" s="81"/>
      <c r="E12" s="79"/>
      <c r="F12" s="80"/>
      <c r="G12" s="81"/>
      <c r="H12" s="79"/>
      <c r="I12" s="80"/>
      <c r="J12" s="81"/>
      <c r="K12" s="96"/>
      <c r="L12" s="96"/>
      <c r="M12" s="93"/>
      <c r="N12" s="93"/>
      <c r="P12" s="73" t="s">
        <v>143</v>
      </c>
      <c r="Q12" s="74"/>
      <c r="R12" s="74"/>
      <c r="S12" s="74"/>
      <c r="T12" s="75"/>
      <c r="V12" s="67" t="s">
        <v>159</v>
      </c>
      <c r="W12" s="68"/>
      <c r="X12" s="68"/>
      <c r="Y12" s="68"/>
      <c r="Z12" s="68"/>
      <c r="AA12" s="68"/>
      <c r="AB12" s="68"/>
      <c r="AC12" s="69"/>
    </row>
    <row r="13" spans="2:30" ht="18" thickBot="1" x14ac:dyDescent="0.45">
      <c r="B13" s="76" t="s">
        <v>101</v>
      </c>
      <c r="C13" s="77"/>
      <c r="D13" s="78"/>
      <c r="E13" s="94">
        <f>HVBOX!L17</f>
        <v>1</v>
      </c>
      <c r="F13" s="94"/>
      <c r="G13" s="94"/>
      <c r="H13" s="94">
        <v>0</v>
      </c>
      <c r="I13" s="94"/>
      <c r="J13" s="94"/>
      <c r="K13" s="95" t="str">
        <f t="shared" ref="K13" si="2">IF(2*E13&gt;H13, "O", "")</f>
        <v>O</v>
      </c>
      <c r="L13" s="95"/>
      <c r="M13" s="92" t="b">
        <v>1</v>
      </c>
      <c r="N13" s="92"/>
      <c r="P13" s="3"/>
      <c r="T13" s="4"/>
      <c r="V13" s="70"/>
      <c r="W13" s="71"/>
      <c r="X13" s="71"/>
      <c r="Y13" s="71"/>
      <c r="Z13" s="71"/>
      <c r="AA13" s="71"/>
      <c r="AB13" s="71"/>
      <c r="AC13" s="72"/>
    </row>
    <row r="14" spans="2:30" ht="18" thickBot="1" x14ac:dyDescent="0.45">
      <c r="B14" s="79"/>
      <c r="C14" s="80"/>
      <c r="D14" s="81"/>
      <c r="E14" s="94"/>
      <c r="F14" s="94"/>
      <c r="G14" s="94"/>
      <c r="H14" s="94"/>
      <c r="I14" s="94"/>
      <c r="J14" s="94"/>
      <c r="K14" s="96"/>
      <c r="L14" s="96"/>
      <c r="M14" s="93"/>
      <c r="N14" s="93"/>
      <c r="P14" s="10" t="s">
        <v>160</v>
      </c>
      <c r="Q14" s="7">
        <v>16.8</v>
      </c>
      <c r="S14">
        <f>1/(Q14/Q17)</f>
        <v>0.59523809523809523</v>
      </c>
      <c r="T14" s="4"/>
      <c r="V14" s="16" t="s">
        <v>165</v>
      </c>
      <c r="W14" s="17"/>
      <c r="X14" s="17"/>
      <c r="Y14" s="17"/>
      <c r="Z14" s="17"/>
      <c r="AA14" s="17"/>
      <c r="AB14" s="17"/>
      <c r="AC14" s="18"/>
    </row>
    <row r="15" spans="2:30" ht="18" thickBot="1" x14ac:dyDescent="0.45">
      <c r="B15" s="76" t="s">
        <v>65</v>
      </c>
      <c r="C15" s="77"/>
      <c r="D15" s="78"/>
      <c r="E15" s="94">
        <f>HVBOX!L19+BSPD!L12</f>
        <v>12</v>
      </c>
      <c r="F15" s="94"/>
      <c r="G15" s="94"/>
      <c r="H15" s="94">
        <v>12</v>
      </c>
      <c r="I15" s="94"/>
      <c r="J15" s="94"/>
      <c r="K15" s="95" t="str">
        <f t="shared" ref="K15" si="3">IF(2*E15&gt;H15, "O", "")</f>
        <v>O</v>
      </c>
      <c r="L15" s="95"/>
      <c r="M15" s="92" t="b">
        <v>1</v>
      </c>
      <c r="N15" s="92"/>
      <c r="P15" s="3"/>
      <c r="S15">
        <f>S14/(1-S14)</f>
        <v>1.4705882352941175</v>
      </c>
      <c r="T15" s="4"/>
      <c r="V15" s="64"/>
      <c r="W15" s="65"/>
      <c r="X15" s="65"/>
      <c r="Y15" s="65"/>
      <c r="Z15" s="65"/>
      <c r="AA15" s="65"/>
      <c r="AB15" s="65"/>
      <c r="AC15" s="66"/>
    </row>
    <row r="16" spans="2:30" ht="18" thickBot="1" x14ac:dyDescent="0.45">
      <c r="B16" s="79"/>
      <c r="C16" s="80"/>
      <c r="D16" s="81"/>
      <c r="E16" s="94"/>
      <c r="F16" s="94"/>
      <c r="G16" s="94"/>
      <c r="H16" s="94"/>
      <c r="I16" s="94"/>
      <c r="J16" s="94"/>
      <c r="K16" s="96"/>
      <c r="L16" s="96"/>
      <c r="M16" s="93"/>
      <c r="N16" s="93"/>
      <c r="P16" s="14" t="str">
        <f>IF(S15&lt;0, "in보다 ref는 클수 없음", "")</f>
        <v/>
      </c>
      <c r="Q16" s="15"/>
      <c r="S16" s="10" t="s">
        <v>133</v>
      </c>
      <c r="T16" s="8" t="s">
        <v>134</v>
      </c>
      <c r="V16" s="19"/>
      <c r="W16" s="20"/>
      <c r="X16" s="20"/>
      <c r="Y16" s="20"/>
      <c r="Z16" s="20"/>
      <c r="AA16" s="20"/>
      <c r="AB16" s="20"/>
      <c r="AC16" s="21"/>
    </row>
    <row r="17" spans="2:37" ht="18" thickBot="1" x14ac:dyDescent="0.45">
      <c r="B17" s="76" t="s">
        <v>105</v>
      </c>
      <c r="C17" s="77"/>
      <c r="D17" s="78"/>
      <c r="E17" s="94">
        <f>HVBOX!L21</f>
        <v>1</v>
      </c>
      <c r="F17" s="94"/>
      <c r="G17" s="94"/>
      <c r="H17" s="94">
        <v>20</v>
      </c>
      <c r="I17" s="94"/>
      <c r="J17" s="94"/>
      <c r="K17" s="95" t="str">
        <f t="shared" ref="K17" si="4">IF(2*E17&gt;H17, "O", "")</f>
        <v/>
      </c>
      <c r="L17" s="95"/>
      <c r="M17" s="92" t="b">
        <v>0</v>
      </c>
      <c r="N17" s="92"/>
      <c r="P17" s="6" t="s">
        <v>142</v>
      </c>
      <c r="Q17" s="7">
        <v>10</v>
      </c>
      <c r="R17" s="5"/>
      <c r="S17" s="9">
        <v>4.7</v>
      </c>
      <c r="T17" s="7">
        <f>$S$15*S17</f>
        <v>6.9117647058823524</v>
      </c>
    </row>
    <row r="18" spans="2:37" x14ac:dyDescent="0.4">
      <c r="B18" s="79"/>
      <c r="C18" s="80"/>
      <c r="D18" s="81"/>
      <c r="E18" s="94"/>
      <c r="F18" s="94"/>
      <c r="G18" s="94"/>
      <c r="H18" s="94"/>
      <c r="I18" s="94"/>
      <c r="J18" s="94"/>
      <c r="K18" s="96"/>
      <c r="L18" s="96"/>
      <c r="M18" s="93"/>
      <c r="N18" s="93"/>
    </row>
    <row r="19" spans="2:37" x14ac:dyDescent="0.4">
      <c r="B19" s="76" t="s">
        <v>107</v>
      </c>
      <c r="C19" s="77"/>
      <c r="D19" s="78"/>
      <c r="E19" s="94">
        <f>HVBOX!L23+BSPD!L28</f>
        <v>8</v>
      </c>
      <c r="F19" s="94"/>
      <c r="G19" s="94"/>
      <c r="H19" s="94">
        <v>50</v>
      </c>
      <c r="I19" s="94"/>
      <c r="J19" s="94"/>
      <c r="K19" s="95" t="str">
        <f t="shared" ref="K19" si="5">IF(2*E19&gt;H19, "O", "")</f>
        <v/>
      </c>
      <c r="L19" s="95"/>
      <c r="M19" s="92" t="b">
        <v>0</v>
      </c>
      <c r="N19" s="92"/>
    </row>
    <row r="20" spans="2:37" x14ac:dyDescent="0.4">
      <c r="B20" s="79"/>
      <c r="C20" s="80"/>
      <c r="D20" s="81"/>
      <c r="E20" s="94"/>
      <c r="F20" s="94"/>
      <c r="G20" s="94"/>
      <c r="H20" s="94"/>
      <c r="I20" s="94"/>
      <c r="J20" s="94"/>
      <c r="K20" s="96"/>
      <c r="L20" s="96"/>
      <c r="M20" s="93"/>
      <c r="N20" s="93"/>
    </row>
    <row r="21" spans="2:37" x14ac:dyDescent="0.4">
      <c r="B21" s="76" t="s">
        <v>108</v>
      </c>
      <c r="C21" s="77"/>
      <c r="D21" s="78"/>
      <c r="E21" s="94">
        <f>HVBOX!L25</f>
        <v>1</v>
      </c>
      <c r="F21" s="94"/>
      <c r="G21" s="94"/>
      <c r="H21" s="94">
        <v>5</v>
      </c>
      <c r="I21" s="94"/>
      <c r="J21" s="94"/>
      <c r="K21" s="95" t="str">
        <f t="shared" ref="K21" si="6">IF(2*E21&gt;H21, "O", "")</f>
        <v/>
      </c>
      <c r="L21" s="95"/>
      <c r="M21" s="92" t="b">
        <v>0</v>
      </c>
      <c r="N21" s="92"/>
    </row>
    <row r="22" spans="2:37" x14ac:dyDescent="0.4">
      <c r="B22" s="79"/>
      <c r="C22" s="80"/>
      <c r="D22" s="81"/>
      <c r="E22" s="94"/>
      <c r="F22" s="94"/>
      <c r="G22" s="94"/>
      <c r="H22" s="94"/>
      <c r="I22" s="94"/>
      <c r="J22" s="94"/>
      <c r="K22" s="96"/>
      <c r="L22" s="96"/>
      <c r="M22" s="93"/>
      <c r="N22" s="93"/>
    </row>
    <row r="23" spans="2:37" x14ac:dyDescent="0.4">
      <c r="B23" s="76" t="s">
        <v>87</v>
      </c>
      <c r="C23" s="77"/>
      <c r="D23" s="78"/>
      <c r="E23" s="94">
        <f>HVBOX!L27+SDC!L18+BSPD!L20</f>
        <v>10</v>
      </c>
      <c r="F23" s="94"/>
      <c r="G23" s="94"/>
      <c r="H23" s="94">
        <v>40</v>
      </c>
      <c r="I23" s="94"/>
      <c r="J23" s="94"/>
      <c r="K23" s="95" t="str">
        <f t="shared" ref="K23" si="7">IF(2*E23&gt;H23, "O", "")</f>
        <v/>
      </c>
      <c r="L23" s="95"/>
      <c r="M23" s="92" t="b">
        <v>0</v>
      </c>
      <c r="N23" s="92"/>
    </row>
    <row r="24" spans="2:37" ht="17.399999999999999" customHeight="1" thickBot="1" x14ac:dyDescent="0.45">
      <c r="B24" s="79"/>
      <c r="C24" s="80"/>
      <c r="D24" s="81"/>
      <c r="E24" s="94"/>
      <c r="F24" s="94"/>
      <c r="G24" s="94"/>
      <c r="H24" s="94"/>
      <c r="I24" s="94"/>
      <c r="J24" s="94"/>
      <c r="K24" s="96"/>
      <c r="L24" s="96"/>
      <c r="M24" s="93"/>
      <c r="N24" s="93"/>
    </row>
    <row r="25" spans="2:37" ht="17.399999999999999" customHeight="1" x14ac:dyDescent="0.4">
      <c r="B25" s="76" t="s">
        <v>62</v>
      </c>
      <c r="C25" s="77"/>
      <c r="D25" s="78"/>
      <c r="E25" s="94">
        <f>HVBOX!L29+HVBOX!AA16+SDC!L30+BSPD!L16</f>
        <v>9</v>
      </c>
      <c r="F25" s="94"/>
      <c r="G25" s="94"/>
      <c r="H25" s="94">
        <v>24</v>
      </c>
      <c r="I25" s="94"/>
      <c r="J25" s="94"/>
      <c r="K25" s="95" t="str">
        <f t="shared" ref="K25" si="8">IF(2*E25&gt;H25, "O", "")</f>
        <v/>
      </c>
      <c r="L25" s="95"/>
      <c r="M25" s="92" t="b">
        <v>0</v>
      </c>
      <c r="N25" s="92"/>
      <c r="P25" s="22" t="s">
        <v>148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  <c r="AC25" s="22" t="s">
        <v>144</v>
      </c>
      <c r="AD25" s="23"/>
      <c r="AE25" s="23"/>
      <c r="AF25" s="23"/>
      <c r="AG25" s="23"/>
      <c r="AH25" s="23"/>
      <c r="AI25" s="23"/>
      <c r="AJ25" s="23"/>
      <c r="AK25" s="24"/>
    </row>
    <row r="26" spans="2:37" ht="18" customHeight="1" x14ac:dyDescent="0.4">
      <c r="B26" s="79"/>
      <c r="C26" s="80"/>
      <c r="D26" s="81"/>
      <c r="E26" s="94"/>
      <c r="F26" s="94"/>
      <c r="G26" s="94"/>
      <c r="H26" s="94"/>
      <c r="I26" s="94"/>
      <c r="J26" s="94"/>
      <c r="K26" s="96"/>
      <c r="L26" s="96"/>
      <c r="M26" s="93"/>
      <c r="N26" s="93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C26" s="25"/>
      <c r="AD26" s="26"/>
      <c r="AE26" s="26"/>
      <c r="AF26" s="26"/>
      <c r="AG26" s="26"/>
      <c r="AH26" s="26"/>
      <c r="AI26" s="26"/>
      <c r="AJ26" s="26"/>
      <c r="AK26" s="27"/>
    </row>
    <row r="27" spans="2:37" ht="17.399999999999999" customHeight="1" thickBot="1" x14ac:dyDescent="0.45">
      <c r="B27" s="76" t="s">
        <v>42</v>
      </c>
      <c r="C27" s="77"/>
      <c r="D27" s="78"/>
      <c r="E27" s="94">
        <f>HVBOX!L31+HVBOX!AA20+SDC!L16+BSPD!L30</f>
        <v>21</v>
      </c>
      <c r="F27" s="94"/>
      <c r="G27" s="94"/>
      <c r="H27" s="94">
        <v>50</v>
      </c>
      <c r="I27" s="94"/>
      <c r="J27" s="94"/>
      <c r="K27" s="95" t="str">
        <f t="shared" ref="K27" si="9">IF(2*E27&gt;H27, "O", "")</f>
        <v/>
      </c>
      <c r="L27" s="95"/>
      <c r="M27" s="92" t="b">
        <v>0</v>
      </c>
      <c r="N27" s="92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C27" s="28"/>
      <c r="AD27" s="29"/>
      <c r="AE27" s="29"/>
      <c r="AF27" s="29"/>
      <c r="AG27" s="29"/>
      <c r="AH27" s="29"/>
      <c r="AI27" s="29"/>
      <c r="AJ27" s="29"/>
      <c r="AK27" s="30"/>
    </row>
    <row r="28" spans="2:37" ht="17.399999999999999" customHeight="1" x14ac:dyDescent="0.4">
      <c r="B28" s="79"/>
      <c r="C28" s="80"/>
      <c r="D28" s="81"/>
      <c r="E28" s="94"/>
      <c r="F28" s="94"/>
      <c r="G28" s="94"/>
      <c r="H28" s="94"/>
      <c r="I28" s="94"/>
      <c r="J28" s="94"/>
      <c r="K28" s="96"/>
      <c r="L28" s="96"/>
      <c r="M28" s="93"/>
      <c r="N28" s="93"/>
      <c r="P28" s="83">
        <v>10</v>
      </c>
      <c r="Q28" s="84"/>
      <c r="R28" s="85"/>
      <c r="S28" s="83">
        <v>300</v>
      </c>
      <c r="T28" s="84"/>
      <c r="U28" s="85"/>
      <c r="V28" s="83">
        <v>1</v>
      </c>
      <c r="W28" s="84"/>
      <c r="X28" s="85"/>
      <c r="Y28" s="49">
        <f>1.44/((P28+2*S28)*V28)*1000</f>
        <v>2.360655737704918</v>
      </c>
      <c r="Z28" s="50"/>
      <c r="AA28" s="51"/>
      <c r="AC28" s="40">
        <v>47</v>
      </c>
      <c r="AD28" s="41"/>
      <c r="AE28" s="42"/>
      <c r="AF28" s="40">
        <v>10</v>
      </c>
      <c r="AG28" s="41"/>
      <c r="AH28" s="42"/>
      <c r="AI28" s="31">
        <f>1.1*AC28*AF28/1000</f>
        <v>0.51700000000000002</v>
      </c>
      <c r="AJ28" s="32"/>
      <c r="AK28" s="33"/>
    </row>
    <row r="29" spans="2:37" ht="18" customHeight="1" x14ac:dyDescent="0.4">
      <c r="B29" s="76" t="s">
        <v>61</v>
      </c>
      <c r="C29" s="77"/>
      <c r="D29" s="78"/>
      <c r="E29" s="94">
        <f>HVBOX!L33+HVBOX!AA26+SDC!L26+BSPD!L14</f>
        <v>6</v>
      </c>
      <c r="F29" s="94"/>
      <c r="G29" s="94"/>
      <c r="H29" s="94">
        <v>36</v>
      </c>
      <c r="I29" s="94"/>
      <c r="J29" s="94"/>
      <c r="K29" s="95" t="str">
        <f t="shared" ref="K29" si="10">IF(2*E29&gt;H29, "O", "")</f>
        <v/>
      </c>
      <c r="L29" s="95"/>
      <c r="M29" s="92" t="b">
        <v>0</v>
      </c>
      <c r="N29" s="92"/>
      <c r="P29" s="86"/>
      <c r="Q29" s="87"/>
      <c r="R29" s="88"/>
      <c r="S29" s="86"/>
      <c r="T29" s="87"/>
      <c r="U29" s="88"/>
      <c r="V29" s="86"/>
      <c r="W29" s="87"/>
      <c r="X29" s="88"/>
      <c r="Y29" s="52"/>
      <c r="Z29" s="53"/>
      <c r="AA29" s="54"/>
      <c r="AC29" s="43"/>
      <c r="AD29" s="44"/>
      <c r="AE29" s="45"/>
      <c r="AF29" s="43"/>
      <c r="AG29" s="44"/>
      <c r="AH29" s="45"/>
      <c r="AI29" s="34"/>
      <c r="AJ29" s="35"/>
      <c r="AK29" s="36"/>
    </row>
    <row r="30" spans="2:37" ht="18" thickBot="1" x14ac:dyDescent="0.45">
      <c r="B30" s="79"/>
      <c r="C30" s="80"/>
      <c r="D30" s="81"/>
      <c r="E30" s="94"/>
      <c r="F30" s="94"/>
      <c r="G30" s="94"/>
      <c r="H30" s="94"/>
      <c r="I30" s="94"/>
      <c r="J30" s="94"/>
      <c r="K30" s="96"/>
      <c r="L30" s="96"/>
      <c r="M30" s="93"/>
      <c r="N30" s="93"/>
      <c r="P30" s="89"/>
      <c r="Q30" s="90"/>
      <c r="R30" s="91"/>
      <c r="S30" s="89"/>
      <c r="T30" s="90"/>
      <c r="U30" s="91"/>
      <c r="V30" s="89"/>
      <c r="W30" s="90"/>
      <c r="X30" s="91"/>
      <c r="Y30" s="55"/>
      <c r="Z30" s="56"/>
      <c r="AA30" s="57"/>
      <c r="AC30" s="46"/>
      <c r="AD30" s="47"/>
      <c r="AE30" s="48"/>
      <c r="AF30" s="46"/>
      <c r="AG30" s="47"/>
      <c r="AH30" s="48"/>
      <c r="AI30" s="37"/>
      <c r="AJ30" s="38"/>
      <c r="AK30" s="39"/>
    </row>
    <row r="31" spans="2:37" ht="21" x14ac:dyDescent="0.4">
      <c r="B31" s="76" t="s">
        <v>110</v>
      </c>
      <c r="C31" s="77"/>
      <c r="D31" s="78"/>
      <c r="E31" s="94">
        <f>HVBOX!L35+BSPD!L40</f>
        <v>2</v>
      </c>
      <c r="F31" s="94"/>
      <c r="G31" s="94"/>
      <c r="H31" s="94">
        <v>0</v>
      </c>
      <c r="I31" s="94"/>
      <c r="J31" s="94"/>
      <c r="K31" s="95" t="str">
        <f t="shared" ref="K31" si="11">IF(2*E31&gt;H31, "O", "")</f>
        <v>O</v>
      </c>
      <c r="L31" s="95"/>
      <c r="M31" s="92" t="b">
        <v>1</v>
      </c>
      <c r="N31" s="92"/>
      <c r="P31" s="16" t="s">
        <v>150</v>
      </c>
      <c r="Q31" s="17"/>
      <c r="R31" s="18"/>
      <c r="S31" s="16" t="s">
        <v>151</v>
      </c>
      <c r="T31" s="17"/>
      <c r="U31" s="18"/>
      <c r="V31" s="16" t="s">
        <v>146</v>
      </c>
      <c r="W31" s="17"/>
      <c r="X31" s="18"/>
      <c r="Y31" s="16" t="s">
        <v>149</v>
      </c>
      <c r="Z31" s="17"/>
      <c r="AA31" s="18"/>
      <c r="AB31" s="13"/>
      <c r="AC31" s="16" t="s">
        <v>150</v>
      </c>
      <c r="AD31" s="17"/>
      <c r="AE31" s="18"/>
      <c r="AF31" s="16" t="s">
        <v>146</v>
      </c>
      <c r="AG31" s="17"/>
      <c r="AH31" s="18"/>
      <c r="AI31" s="16" t="s">
        <v>147</v>
      </c>
      <c r="AJ31" s="17"/>
      <c r="AK31" s="18"/>
    </row>
    <row r="32" spans="2:37" ht="21.6" thickBot="1" x14ac:dyDescent="0.45">
      <c r="B32" s="79"/>
      <c r="C32" s="80"/>
      <c r="D32" s="81"/>
      <c r="E32" s="94"/>
      <c r="F32" s="94"/>
      <c r="G32" s="94"/>
      <c r="H32" s="94"/>
      <c r="I32" s="94"/>
      <c r="J32" s="94"/>
      <c r="K32" s="96"/>
      <c r="L32" s="96"/>
      <c r="M32" s="93"/>
      <c r="N32" s="93"/>
      <c r="P32" s="19"/>
      <c r="Q32" s="20"/>
      <c r="R32" s="21"/>
      <c r="S32" s="19"/>
      <c r="T32" s="20"/>
      <c r="U32" s="21"/>
      <c r="V32" s="19"/>
      <c r="W32" s="20"/>
      <c r="X32" s="21"/>
      <c r="Y32" s="19"/>
      <c r="Z32" s="20"/>
      <c r="AA32" s="21"/>
      <c r="AB32" s="13"/>
      <c r="AC32" s="19"/>
      <c r="AD32" s="20"/>
      <c r="AE32" s="21"/>
      <c r="AF32" s="19"/>
      <c r="AG32" s="20"/>
      <c r="AH32" s="21"/>
      <c r="AI32" s="19"/>
      <c r="AJ32" s="20"/>
      <c r="AK32" s="21"/>
    </row>
    <row r="33" spans="2:14" x14ac:dyDescent="0.4">
      <c r="B33" s="76" t="s">
        <v>112</v>
      </c>
      <c r="C33" s="77"/>
      <c r="D33" s="78"/>
      <c r="E33" s="94">
        <f>HVBOX!L37</f>
        <v>1</v>
      </c>
      <c r="F33" s="94"/>
      <c r="G33" s="94"/>
      <c r="H33" s="94">
        <v>0</v>
      </c>
      <c r="I33" s="94"/>
      <c r="J33" s="94"/>
      <c r="K33" s="95" t="str">
        <f t="shared" ref="K33" si="12">IF(2*E33&gt;H33, "O", "")</f>
        <v>O</v>
      </c>
      <c r="L33" s="95"/>
      <c r="M33" s="92" t="b">
        <v>1</v>
      </c>
      <c r="N33" s="92"/>
    </row>
    <row r="34" spans="2:14" x14ac:dyDescent="0.4">
      <c r="B34" s="79"/>
      <c r="C34" s="80"/>
      <c r="D34" s="81"/>
      <c r="E34" s="94"/>
      <c r="F34" s="94"/>
      <c r="G34" s="94"/>
      <c r="H34" s="94"/>
      <c r="I34" s="94"/>
      <c r="J34" s="94"/>
      <c r="K34" s="96"/>
      <c r="L34" s="96"/>
      <c r="M34" s="93"/>
      <c r="N34" s="93"/>
    </row>
    <row r="35" spans="2:14" x14ac:dyDescent="0.4">
      <c r="B35" s="76" t="s">
        <v>113</v>
      </c>
      <c r="C35" s="77"/>
      <c r="D35" s="78"/>
      <c r="E35" s="94">
        <f>BSPD!L36</f>
        <v>1</v>
      </c>
      <c r="F35" s="94"/>
      <c r="G35" s="94"/>
      <c r="H35" s="94">
        <v>50</v>
      </c>
      <c r="I35" s="94"/>
      <c r="J35" s="94"/>
      <c r="K35" s="95" t="str">
        <f t="shared" ref="K35" si="13">IF(2*E35&gt;H35, "O", "")</f>
        <v/>
      </c>
      <c r="L35" s="95"/>
      <c r="M35" s="92" t="b">
        <v>0</v>
      </c>
      <c r="N35" s="92"/>
    </row>
    <row r="36" spans="2:14" x14ac:dyDescent="0.4">
      <c r="B36" s="79"/>
      <c r="C36" s="80"/>
      <c r="D36" s="81"/>
      <c r="E36" s="94"/>
      <c r="F36" s="94"/>
      <c r="G36" s="94"/>
      <c r="H36" s="94"/>
      <c r="I36" s="94"/>
      <c r="J36" s="94"/>
      <c r="K36" s="96"/>
      <c r="L36" s="96"/>
      <c r="M36" s="93"/>
      <c r="N36" s="93"/>
    </row>
    <row r="37" spans="2:14" x14ac:dyDescent="0.4">
      <c r="B37" s="76" t="s">
        <v>114</v>
      </c>
      <c r="C37" s="77"/>
      <c r="D37" s="78"/>
      <c r="E37" s="94">
        <f>HVBOX!L41</f>
        <v>1</v>
      </c>
      <c r="F37" s="94"/>
      <c r="G37" s="94"/>
      <c r="H37" s="94">
        <v>10</v>
      </c>
      <c r="I37" s="94"/>
      <c r="J37" s="94"/>
      <c r="K37" s="95" t="str">
        <f t="shared" ref="K37" si="14">IF(2*E37&gt;H37, "O", "")</f>
        <v/>
      </c>
      <c r="L37" s="95"/>
      <c r="M37" s="92" t="b">
        <v>0</v>
      </c>
      <c r="N37" s="92"/>
    </row>
    <row r="38" spans="2:14" x14ac:dyDescent="0.4">
      <c r="B38" s="79"/>
      <c r="C38" s="80"/>
      <c r="D38" s="81"/>
      <c r="E38" s="94"/>
      <c r="F38" s="94"/>
      <c r="G38" s="94"/>
      <c r="H38" s="94"/>
      <c r="I38" s="94"/>
      <c r="J38" s="94"/>
      <c r="K38" s="96"/>
      <c r="L38" s="96"/>
      <c r="M38" s="93"/>
      <c r="N38" s="93"/>
    </row>
    <row r="39" spans="2:14" x14ac:dyDescent="0.4">
      <c r="B39" s="76" t="s">
        <v>116</v>
      </c>
      <c r="C39" s="77"/>
      <c r="D39" s="78"/>
      <c r="E39" s="94">
        <f>HVBOX!L43</f>
        <v>1</v>
      </c>
      <c r="F39" s="94"/>
      <c r="G39" s="94"/>
      <c r="H39" s="94">
        <v>50</v>
      </c>
      <c r="I39" s="94"/>
      <c r="J39" s="94"/>
      <c r="K39" s="95" t="str">
        <f t="shared" ref="K39" si="15">IF(2*E39&gt;H39, "O", "")</f>
        <v/>
      </c>
      <c r="L39" s="95"/>
      <c r="M39" s="92" t="b">
        <v>0</v>
      </c>
      <c r="N39" s="92"/>
    </row>
    <row r="40" spans="2:14" x14ac:dyDescent="0.4">
      <c r="B40" s="79"/>
      <c r="C40" s="80"/>
      <c r="D40" s="81"/>
      <c r="E40" s="94"/>
      <c r="F40" s="94"/>
      <c r="G40" s="94"/>
      <c r="H40" s="94"/>
      <c r="I40" s="94"/>
      <c r="J40" s="94"/>
      <c r="K40" s="96"/>
      <c r="L40" s="96"/>
      <c r="M40" s="93"/>
      <c r="N40" s="93"/>
    </row>
    <row r="41" spans="2:14" x14ac:dyDescent="0.4">
      <c r="B41" s="76" t="s">
        <v>117</v>
      </c>
      <c r="C41" s="77"/>
      <c r="D41" s="78"/>
      <c r="E41" s="94">
        <f>HVBOX!AA12</f>
        <v>1</v>
      </c>
      <c r="F41" s="94"/>
      <c r="G41" s="94"/>
      <c r="H41" s="94">
        <v>50</v>
      </c>
      <c r="I41" s="94"/>
      <c r="J41" s="94"/>
      <c r="K41" s="95" t="str">
        <f t="shared" ref="K41" si="16">IF(2*E41&gt;H41, "O", "")</f>
        <v/>
      </c>
      <c r="L41" s="95"/>
      <c r="M41" s="92" t="b">
        <v>0</v>
      </c>
      <c r="N41" s="92"/>
    </row>
    <row r="42" spans="2:14" x14ac:dyDescent="0.4">
      <c r="B42" s="79"/>
      <c r="C42" s="80"/>
      <c r="D42" s="81"/>
      <c r="E42" s="94"/>
      <c r="F42" s="94"/>
      <c r="G42" s="94"/>
      <c r="H42" s="94"/>
      <c r="I42" s="94"/>
      <c r="J42" s="94"/>
      <c r="K42" s="96"/>
      <c r="L42" s="96"/>
      <c r="M42" s="93"/>
      <c r="N42" s="93"/>
    </row>
    <row r="43" spans="2:14" x14ac:dyDescent="0.4">
      <c r="B43" s="76" t="s">
        <v>41</v>
      </c>
      <c r="C43" s="77"/>
      <c r="D43" s="78"/>
      <c r="E43" s="94">
        <f>HVBOX!AA14+SDC!L14+BSPD!L32</f>
        <v>13</v>
      </c>
      <c r="F43" s="94"/>
      <c r="G43" s="94"/>
      <c r="H43" s="94">
        <v>100</v>
      </c>
      <c r="I43" s="94"/>
      <c r="J43" s="94"/>
      <c r="K43" s="95" t="str">
        <f t="shared" ref="K43" si="17">IF(2*E43&gt;H43, "O", "")</f>
        <v/>
      </c>
      <c r="L43" s="95"/>
      <c r="M43" s="92" t="b">
        <v>0</v>
      </c>
      <c r="N43" s="92"/>
    </row>
    <row r="44" spans="2:14" x14ac:dyDescent="0.4">
      <c r="B44" s="79"/>
      <c r="C44" s="80"/>
      <c r="D44" s="81"/>
      <c r="E44" s="94"/>
      <c r="F44" s="94"/>
      <c r="G44" s="94"/>
      <c r="H44" s="94"/>
      <c r="I44" s="94"/>
      <c r="J44" s="94"/>
      <c r="K44" s="96"/>
      <c r="L44" s="96"/>
      <c r="M44" s="93"/>
      <c r="N44" s="93"/>
    </row>
    <row r="45" spans="2:14" x14ac:dyDescent="0.4">
      <c r="B45" s="76" t="s">
        <v>123</v>
      </c>
      <c r="C45" s="77"/>
      <c r="D45" s="78"/>
      <c r="E45" s="94">
        <f>HVBOX!AA18+SDC!L28+Discharge!L12</f>
        <v>3</v>
      </c>
      <c r="F45" s="94"/>
      <c r="G45" s="94"/>
      <c r="H45" s="94">
        <v>12</v>
      </c>
      <c r="I45" s="94"/>
      <c r="J45" s="94"/>
      <c r="K45" s="95" t="str">
        <f t="shared" ref="K45" si="18">IF(2*E45&gt;H45, "O", "")</f>
        <v/>
      </c>
      <c r="L45" s="95"/>
      <c r="M45" s="92" t="b">
        <v>0</v>
      </c>
      <c r="N45" s="92"/>
    </row>
    <row r="46" spans="2:14" x14ac:dyDescent="0.4">
      <c r="B46" s="79"/>
      <c r="C46" s="80"/>
      <c r="D46" s="81"/>
      <c r="E46" s="94"/>
      <c r="F46" s="94"/>
      <c r="G46" s="94"/>
      <c r="H46" s="94"/>
      <c r="I46" s="94"/>
      <c r="J46" s="94"/>
      <c r="K46" s="96"/>
      <c r="L46" s="96"/>
      <c r="M46" s="93"/>
      <c r="N46" s="93"/>
    </row>
    <row r="47" spans="2:14" x14ac:dyDescent="0.4">
      <c r="B47" s="76" t="s">
        <v>88</v>
      </c>
      <c r="C47" s="77"/>
      <c r="D47" s="78"/>
      <c r="E47" s="94">
        <f>HVBOX!AA22+SDC!L20+BSPD!L22</f>
        <v>8</v>
      </c>
      <c r="F47" s="94"/>
      <c r="G47" s="94"/>
      <c r="H47" s="94">
        <v>36</v>
      </c>
      <c r="I47" s="94"/>
      <c r="J47" s="94"/>
      <c r="K47" s="95" t="str">
        <f t="shared" ref="K47" si="19">IF(2*E47&gt;H47, "O", "")</f>
        <v/>
      </c>
      <c r="L47" s="95"/>
      <c r="M47" s="92" t="b">
        <v>0</v>
      </c>
      <c r="N47" s="92"/>
    </row>
    <row r="48" spans="2:14" x14ac:dyDescent="0.4">
      <c r="B48" s="79"/>
      <c r="C48" s="80"/>
      <c r="D48" s="81"/>
      <c r="E48" s="94"/>
      <c r="F48" s="94"/>
      <c r="G48" s="94"/>
      <c r="H48" s="94"/>
      <c r="I48" s="94"/>
      <c r="J48" s="94"/>
      <c r="K48" s="96"/>
      <c r="L48" s="96"/>
      <c r="M48" s="93"/>
      <c r="N48" s="93"/>
    </row>
    <row r="49" spans="2:14" x14ac:dyDescent="0.4">
      <c r="B49" s="76" t="s">
        <v>119</v>
      </c>
      <c r="C49" s="77"/>
      <c r="D49" s="78"/>
      <c r="E49" s="94">
        <f>HVBOX!AA24+SDC!L22+BSPD!L26</f>
        <v>16</v>
      </c>
      <c r="F49" s="94"/>
      <c r="G49" s="94"/>
      <c r="H49" s="94">
        <v>50</v>
      </c>
      <c r="I49" s="94"/>
      <c r="J49" s="94"/>
      <c r="K49" s="95" t="str">
        <f t="shared" ref="K49" si="20">IF(2*E49&gt;H49, "O", "")</f>
        <v/>
      </c>
      <c r="L49" s="95"/>
      <c r="M49" s="92" t="b">
        <v>0</v>
      </c>
      <c r="N49" s="92"/>
    </row>
    <row r="50" spans="2:14" x14ac:dyDescent="0.4">
      <c r="B50" s="79"/>
      <c r="C50" s="80"/>
      <c r="D50" s="81"/>
      <c r="E50" s="94"/>
      <c r="F50" s="94"/>
      <c r="G50" s="94"/>
      <c r="H50" s="94"/>
      <c r="I50" s="94"/>
      <c r="J50" s="94"/>
      <c r="K50" s="96"/>
      <c r="L50" s="96"/>
      <c r="M50" s="93"/>
      <c r="N50" s="93"/>
    </row>
    <row r="51" spans="2:14" x14ac:dyDescent="0.4">
      <c r="B51" s="76" t="s">
        <v>120</v>
      </c>
      <c r="C51" s="77"/>
      <c r="D51" s="78"/>
      <c r="E51" s="94">
        <f>HVBOX!AA28+Discharge!L10</f>
        <v>2</v>
      </c>
      <c r="F51" s="94"/>
      <c r="G51" s="94"/>
      <c r="H51" s="94">
        <v>0</v>
      </c>
      <c r="I51" s="94"/>
      <c r="J51" s="94"/>
      <c r="K51" s="95" t="str">
        <f t="shared" ref="K51" si="21">IF(2*E51&gt;H51, "O", "")</f>
        <v>O</v>
      </c>
      <c r="L51" s="95"/>
      <c r="M51" s="92" t="b">
        <v>1</v>
      </c>
      <c r="N51" s="92"/>
    </row>
    <row r="52" spans="2:14" x14ac:dyDescent="0.4">
      <c r="B52" s="79"/>
      <c r="C52" s="80"/>
      <c r="D52" s="81"/>
      <c r="E52" s="94"/>
      <c r="F52" s="94"/>
      <c r="G52" s="94"/>
      <c r="H52" s="94"/>
      <c r="I52" s="94"/>
      <c r="J52" s="94"/>
      <c r="K52" s="96"/>
      <c r="L52" s="96"/>
      <c r="M52" s="93"/>
      <c r="N52" s="93"/>
    </row>
    <row r="53" spans="2:14" x14ac:dyDescent="0.4">
      <c r="B53" s="76" t="s">
        <v>121</v>
      </c>
      <c r="C53" s="77"/>
      <c r="D53" s="78"/>
      <c r="E53" s="94">
        <f>SDC!L8</f>
        <v>5</v>
      </c>
      <c r="F53" s="94"/>
      <c r="G53" s="94"/>
      <c r="H53" s="94">
        <v>9</v>
      </c>
      <c r="I53" s="94"/>
      <c r="J53" s="94"/>
      <c r="K53" s="95" t="str">
        <f t="shared" ref="K53" si="22">IF(2*E53&gt;H53, "O", "")</f>
        <v>O</v>
      </c>
      <c r="L53" s="95"/>
      <c r="M53" s="92" t="b">
        <v>1</v>
      </c>
      <c r="N53" s="92"/>
    </row>
    <row r="54" spans="2:14" x14ac:dyDescent="0.4">
      <c r="B54" s="79"/>
      <c r="C54" s="80"/>
      <c r="D54" s="81"/>
      <c r="E54" s="94"/>
      <c r="F54" s="94"/>
      <c r="G54" s="94"/>
      <c r="H54" s="94"/>
      <c r="I54" s="94"/>
      <c r="J54" s="94"/>
      <c r="K54" s="96"/>
      <c r="L54" s="96"/>
      <c r="M54" s="93"/>
      <c r="N54" s="93"/>
    </row>
    <row r="55" spans="2:14" x14ac:dyDescent="0.4">
      <c r="B55" s="76" t="s">
        <v>59</v>
      </c>
      <c r="C55" s="77"/>
      <c r="D55" s="78"/>
      <c r="E55" s="94">
        <f>SDC!L10+BSPD!L8</f>
        <v>2</v>
      </c>
      <c r="F55" s="94"/>
      <c r="G55" s="94"/>
      <c r="H55" s="94">
        <v>6</v>
      </c>
      <c r="I55" s="94"/>
      <c r="J55" s="94"/>
      <c r="K55" s="95" t="str">
        <f t="shared" ref="K55" si="23">IF(2*E55&gt;H55, "O", "")</f>
        <v/>
      </c>
      <c r="L55" s="95"/>
      <c r="M55" s="92" t="b">
        <v>0</v>
      </c>
      <c r="N55" s="92"/>
    </row>
    <row r="56" spans="2:14" x14ac:dyDescent="0.4">
      <c r="B56" s="79"/>
      <c r="C56" s="80"/>
      <c r="D56" s="81"/>
      <c r="E56" s="94"/>
      <c r="F56" s="94"/>
      <c r="G56" s="94"/>
      <c r="H56" s="94"/>
      <c r="I56" s="94"/>
      <c r="J56" s="94"/>
      <c r="K56" s="96"/>
      <c r="L56" s="96"/>
      <c r="M56" s="93"/>
      <c r="N56" s="93"/>
    </row>
    <row r="57" spans="2:14" x14ac:dyDescent="0.4">
      <c r="B57" s="76" t="s">
        <v>40</v>
      </c>
      <c r="C57" s="77"/>
      <c r="D57" s="78"/>
      <c r="E57" s="94">
        <f>SDC!L12</f>
        <v>2</v>
      </c>
      <c r="F57" s="94"/>
      <c r="G57" s="94"/>
      <c r="H57" s="94">
        <v>9</v>
      </c>
      <c r="I57" s="94"/>
      <c r="J57" s="94"/>
      <c r="K57" s="95" t="str">
        <f t="shared" ref="K57" si="24">IF(2*E57&gt;H57, "O", "")</f>
        <v/>
      </c>
      <c r="L57" s="95"/>
      <c r="M57" s="92" t="b">
        <v>0</v>
      </c>
      <c r="N57" s="92"/>
    </row>
    <row r="58" spans="2:14" x14ac:dyDescent="0.4">
      <c r="B58" s="79"/>
      <c r="C58" s="80"/>
      <c r="D58" s="81"/>
      <c r="E58" s="94"/>
      <c r="F58" s="94"/>
      <c r="G58" s="94"/>
      <c r="H58" s="94"/>
      <c r="I58" s="94"/>
      <c r="J58" s="94"/>
      <c r="K58" s="96"/>
      <c r="L58" s="96"/>
      <c r="M58" s="93"/>
      <c r="N58" s="93"/>
    </row>
    <row r="59" spans="2:14" x14ac:dyDescent="0.4">
      <c r="B59" s="76" t="s">
        <v>89</v>
      </c>
      <c r="C59" s="77"/>
      <c r="D59" s="78"/>
      <c r="E59" s="94">
        <f>SDC!L24</f>
        <v>1</v>
      </c>
      <c r="F59" s="94"/>
      <c r="G59" s="94"/>
      <c r="H59" s="94">
        <v>3</v>
      </c>
      <c r="I59" s="94"/>
      <c r="J59" s="94"/>
      <c r="K59" s="95" t="str">
        <f t="shared" ref="K59" si="25">IF(2*E59&gt;H59, "O", "")</f>
        <v/>
      </c>
      <c r="L59" s="95"/>
      <c r="M59" s="92" t="b">
        <v>0</v>
      </c>
      <c r="N59" s="92"/>
    </row>
    <row r="60" spans="2:14" x14ac:dyDescent="0.4">
      <c r="B60" s="79"/>
      <c r="C60" s="80"/>
      <c r="D60" s="81"/>
      <c r="E60" s="94"/>
      <c r="F60" s="94"/>
      <c r="G60" s="94"/>
      <c r="H60" s="94"/>
      <c r="I60" s="94"/>
      <c r="J60" s="94"/>
      <c r="K60" s="96"/>
      <c r="L60" s="96"/>
      <c r="M60" s="93"/>
      <c r="N60" s="93"/>
    </row>
    <row r="61" spans="2:14" x14ac:dyDescent="0.4">
      <c r="B61" s="76" t="s">
        <v>93</v>
      </c>
      <c r="C61" s="77"/>
      <c r="D61" s="78"/>
      <c r="E61" s="94">
        <f>SDC!L32</f>
        <v>4</v>
      </c>
      <c r="F61" s="94"/>
      <c r="G61" s="94"/>
      <c r="H61" s="94">
        <v>30</v>
      </c>
      <c r="I61" s="94"/>
      <c r="J61" s="94"/>
      <c r="K61" s="95" t="str">
        <f t="shared" ref="K61" si="26">IF(2*E61&gt;H61, "O", "")</f>
        <v/>
      </c>
      <c r="L61" s="95"/>
      <c r="M61" s="92" t="b">
        <v>0</v>
      </c>
      <c r="N61" s="92"/>
    </row>
    <row r="62" spans="2:14" x14ac:dyDescent="0.4">
      <c r="B62" s="79"/>
      <c r="C62" s="80"/>
      <c r="D62" s="81"/>
      <c r="E62" s="94"/>
      <c r="F62" s="94"/>
      <c r="G62" s="94"/>
      <c r="H62" s="94"/>
      <c r="I62" s="94"/>
      <c r="J62" s="94"/>
      <c r="K62" s="96"/>
      <c r="L62" s="96"/>
      <c r="M62" s="93"/>
      <c r="N62" s="93"/>
    </row>
    <row r="63" spans="2:14" x14ac:dyDescent="0.4">
      <c r="B63" s="76" t="s">
        <v>122</v>
      </c>
      <c r="C63" s="77"/>
      <c r="D63" s="78"/>
      <c r="E63" s="94">
        <f>SDC!L34</f>
        <v>1</v>
      </c>
      <c r="F63" s="94"/>
      <c r="G63" s="94"/>
      <c r="H63" s="94">
        <v>20</v>
      </c>
      <c r="I63" s="94"/>
      <c r="J63" s="94"/>
      <c r="K63" s="95" t="str">
        <f t="shared" ref="K63" si="27">IF(2*E63&gt;H63, "O", "")</f>
        <v/>
      </c>
      <c r="L63" s="95"/>
      <c r="M63" s="92" t="b">
        <v>0</v>
      </c>
      <c r="N63" s="92"/>
    </row>
    <row r="64" spans="2:14" x14ac:dyDescent="0.4">
      <c r="B64" s="79"/>
      <c r="C64" s="80"/>
      <c r="D64" s="81"/>
      <c r="E64" s="94"/>
      <c r="F64" s="94"/>
      <c r="G64" s="94"/>
      <c r="H64" s="94"/>
      <c r="I64" s="94"/>
      <c r="J64" s="94"/>
      <c r="K64" s="96"/>
      <c r="L64" s="96"/>
      <c r="M64" s="93"/>
      <c r="N64" s="93"/>
    </row>
    <row r="65" spans="2:14" x14ac:dyDescent="0.4">
      <c r="B65" s="76" t="s">
        <v>124</v>
      </c>
      <c r="C65" s="77"/>
      <c r="D65" s="78"/>
      <c r="E65" s="94">
        <f>SDC!L36</f>
        <v>1</v>
      </c>
      <c r="F65" s="94"/>
      <c r="G65" s="94"/>
      <c r="H65" s="94">
        <v>50</v>
      </c>
      <c r="I65" s="94"/>
      <c r="J65" s="94"/>
      <c r="K65" s="95" t="str">
        <f t="shared" ref="K65" si="28">IF(2*E65&gt;H65, "O", "")</f>
        <v/>
      </c>
      <c r="L65" s="95"/>
      <c r="M65" s="92" t="b">
        <v>0</v>
      </c>
      <c r="N65" s="92"/>
    </row>
    <row r="66" spans="2:14" x14ac:dyDescent="0.4">
      <c r="B66" s="79"/>
      <c r="C66" s="80"/>
      <c r="D66" s="81"/>
      <c r="E66" s="94"/>
      <c r="F66" s="94"/>
      <c r="G66" s="94"/>
      <c r="H66" s="94"/>
      <c r="I66" s="94"/>
      <c r="J66" s="94"/>
      <c r="K66" s="96"/>
      <c r="L66" s="96"/>
      <c r="M66" s="93"/>
      <c r="N66" s="93"/>
    </row>
    <row r="67" spans="2:14" x14ac:dyDescent="0.4">
      <c r="B67" s="76" t="s">
        <v>125</v>
      </c>
      <c r="C67" s="77"/>
      <c r="D67" s="78"/>
      <c r="E67" s="94">
        <f>BSPD!L38</f>
        <v>1</v>
      </c>
      <c r="F67" s="94"/>
      <c r="G67" s="94"/>
      <c r="H67" s="94">
        <v>50</v>
      </c>
      <c r="I67" s="94"/>
      <c r="J67" s="94"/>
      <c r="K67" s="95" t="str">
        <f t="shared" ref="K67" si="29">IF(2*E67&gt;H67, "O", "")</f>
        <v/>
      </c>
      <c r="L67" s="95"/>
      <c r="M67" s="92" t="b">
        <v>0</v>
      </c>
      <c r="N67" s="92"/>
    </row>
    <row r="68" spans="2:14" x14ac:dyDescent="0.4">
      <c r="B68" s="79"/>
      <c r="C68" s="80"/>
      <c r="D68" s="81"/>
      <c r="E68" s="94"/>
      <c r="F68" s="94"/>
      <c r="G68" s="94"/>
      <c r="H68" s="94"/>
      <c r="I68" s="94"/>
      <c r="J68" s="94"/>
      <c r="K68" s="96"/>
      <c r="L68" s="96"/>
      <c r="M68" s="93"/>
      <c r="N68" s="93"/>
    </row>
    <row r="69" spans="2:14" x14ac:dyDescent="0.4">
      <c r="B69" s="76" t="s">
        <v>126</v>
      </c>
      <c r="C69" s="77"/>
      <c r="D69" s="78"/>
      <c r="E69" s="94">
        <f>SDC!L40</f>
        <v>1</v>
      </c>
      <c r="F69" s="94"/>
      <c r="G69" s="94"/>
      <c r="H69" s="94">
        <v>50</v>
      </c>
      <c r="I69" s="94"/>
      <c r="J69" s="94"/>
      <c r="K69" s="95" t="str">
        <f t="shared" ref="K69" si="30">IF(2*E69&gt;H69, "O", "")</f>
        <v/>
      </c>
      <c r="L69" s="95"/>
      <c r="M69" s="92" t="b">
        <v>0</v>
      </c>
      <c r="N69" s="92"/>
    </row>
    <row r="70" spans="2:14" x14ac:dyDescent="0.4">
      <c r="B70" s="79"/>
      <c r="C70" s="80"/>
      <c r="D70" s="81"/>
      <c r="E70" s="94"/>
      <c r="F70" s="94"/>
      <c r="G70" s="94"/>
      <c r="H70" s="94"/>
      <c r="I70" s="94"/>
      <c r="J70" s="94"/>
      <c r="K70" s="96"/>
      <c r="L70" s="96"/>
      <c r="M70" s="93"/>
      <c r="N70" s="93"/>
    </row>
    <row r="71" spans="2:14" x14ac:dyDescent="0.4">
      <c r="B71" s="76" t="s">
        <v>63</v>
      </c>
      <c r="C71" s="77"/>
      <c r="D71" s="78"/>
      <c r="E71" s="94">
        <f>BSPD!L18</f>
        <v>5</v>
      </c>
      <c r="F71" s="94"/>
      <c r="G71" s="94"/>
      <c r="H71" s="94">
        <v>50</v>
      </c>
      <c r="I71" s="94"/>
      <c r="J71" s="94"/>
      <c r="K71" s="95" t="str">
        <f t="shared" ref="K71" si="31">IF(2*E71&gt;H71, "O", "")</f>
        <v/>
      </c>
      <c r="L71" s="95"/>
      <c r="M71" s="92" t="b">
        <v>0</v>
      </c>
      <c r="N71" s="92"/>
    </row>
    <row r="72" spans="2:14" x14ac:dyDescent="0.4">
      <c r="B72" s="79"/>
      <c r="C72" s="80"/>
      <c r="D72" s="81"/>
      <c r="E72" s="94"/>
      <c r="F72" s="94"/>
      <c r="G72" s="94"/>
      <c r="H72" s="94"/>
      <c r="I72" s="94"/>
      <c r="J72" s="94"/>
      <c r="K72" s="96"/>
      <c r="L72" s="96"/>
      <c r="M72" s="93"/>
      <c r="N72" s="93"/>
    </row>
    <row r="73" spans="2:14" x14ac:dyDescent="0.4">
      <c r="B73" s="76" t="s">
        <v>64</v>
      </c>
      <c r="C73" s="77"/>
      <c r="D73" s="78"/>
      <c r="E73" s="94">
        <f>BSPD!L24</f>
        <v>2</v>
      </c>
      <c r="F73" s="94"/>
      <c r="G73" s="94"/>
      <c r="H73" s="94">
        <v>10</v>
      </c>
      <c r="I73" s="94"/>
      <c r="J73" s="94"/>
      <c r="K73" s="95" t="str">
        <f t="shared" ref="K73" si="32">IF(2*E73&gt;H73, "O", "")</f>
        <v/>
      </c>
      <c r="L73" s="95"/>
      <c r="M73" s="92" t="b">
        <v>0</v>
      </c>
      <c r="N73" s="92"/>
    </row>
    <row r="74" spans="2:14" x14ac:dyDescent="0.4">
      <c r="B74" s="79"/>
      <c r="C74" s="80"/>
      <c r="D74" s="81"/>
      <c r="E74" s="94"/>
      <c r="F74" s="94"/>
      <c r="G74" s="94"/>
      <c r="H74" s="94"/>
      <c r="I74" s="94"/>
      <c r="J74" s="94"/>
      <c r="K74" s="96"/>
      <c r="L74" s="96"/>
      <c r="M74" s="93"/>
      <c r="N74" s="93"/>
    </row>
    <row r="75" spans="2:14" x14ac:dyDescent="0.4">
      <c r="B75" s="76" t="s">
        <v>127</v>
      </c>
      <c r="C75" s="77"/>
      <c r="D75" s="78"/>
      <c r="E75" s="94">
        <f>BSPD!L34</f>
        <v>1</v>
      </c>
      <c r="F75" s="94"/>
      <c r="G75" s="94"/>
      <c r="H75" s="94">
        <v>50</v>
      </c>
      <c r="I75" s="94"/>
      <c r="J75" s="94"/>
      <c r="K75" s="95" t="str">
        <f t="shared" ref="K75" si="33">IF(2*E75&gt;H75, "O", "")</f>
        <v/>
      </c>
      <c r="L75" s="95"/>
      <c r="M75" s="92" t="b">
        <v>0</v>
      </c>
      <c r="N75" s="92"/>
    </row>
    <row r="76" spans="2:14" x14ac:dyDescent="0.4">
      <c r="B76" s="79"/>
      <c r="C76" s="80"/>
      <c r="D76" s="81"/>
      <c r="E76" s="94"/>
      <c r="F76" s="94"/>
      <c r="G76" s="94"/>
      <c r="H76" s="94"/>
      <c r="I76" s="94"/>
      <c r="J76" s="94"/>
      <c r="K76" s="96"/>
      <c r="L76" s="96"/>
      <c r="M76" s="93"/>
      <c r="N76" s="93"/>
    </row>
    <row r="77" spans="2:14" x14ac:dyDescent="0.4">
      <c r="B77" s="76" t="s">
        <v>128</v>
      </c>
      <c r="C77" s="77"/>
      <c r="D77" s="78"/>
      <c r="E77" s="94">
        <f>BSPD!L36</f>
        <v>1</v>
      </c>
      <c r="F77" s="94"/>
      <c r="G77" s="94"/>
      <c r="H77" s="94">
        <v>50</v>
      </c>
      <c r="I77" s="94"/>
      <c r="J77" s="94"/>
      <c r="K77" s="95" t="str">
        <f t="shared" ref="K77" si="34">IF(2*E77&gt;H77, "O", "")</f>
        <v/>
      </c>
      <c r="L77" s="95"/>
      <c r="M77" s="92" t="b">
        <v>0</v>
      </c>
      <c r="N77" s="92"/>
    </row>
    <row r="78" spans="2:14" x14ac:dyDescent="0.4">
      <c r="B78" s="79"/>
      <c r="C78" s="80"/>
      <c r="D78" s="81"/>
      <c r="E78" s="94"/>
      <c r="F78" s="94"/>
      <c r="G78" s="94"/>
      <c r="H78" s="94"/>
      <c r="I78" s="94"/>
      <c r="J78" s="94"/>
      <c r="K78" s="96"/>
      <c r="L78" s="96"/>
      <c r="M78" s="93"/>
      <c r="N78" s="93"/>
    </row>
    <row r="79" spans="2:14" x14ac:dyDescent="0.4">
      <c r="B79" s="76" t="s">
        <v>129</v>
      </c>
      <c r="C79" s="77"/>
      <c r="D79" s="78"/>
      <c r="E79" s="94">
        <f>BSPD!L38</f>
        <v>1</v>
      </c>
      <c r="F79" s="94"/>
      <c r="G79" s="94"/>
      <c r="H79" s="94">
        <v>50</v>
      </c>
      <c r="I79" s="94"/>
      <c r="J79" s="94"/>
      <c r="K79" s="95" t="str">
        <f t="shared" ref="K79" si="35">IF(2*E79&gt;H79, "O", "")</f>
        <v/>
      </c>
      <c r="L79" s="95"/>
      <c r="M79" s="92" t="b">
        <v>0</v>
      </c>
      <c r="N79" s="92"/>
    </row>
    <row r="80" spans="2:14" x14ac:dyDescent="0.4">
      <c r="B80" s="79"/>
      <c r="C80" s="80"/>
      <c r="D80" s="81"/>
      <c r="E80" s="94"/>
      <c r="F80" s="94"/>
      <c r="G80" s="94"/>
      <c r="H80" s="94"/>
      <c r="I80" s="94"/>
      <c r="J80" s="94"/>
      <c r="K80" s="96"/>
      <c r="L80" s="96"/>
      <c r="M80" s="93"/>
      <c r="N80" s="93"/>
    </row>
    <row r="81" spans="2:14" x14ac:dyDescent="0.4">
      <c r="B81" s="76" t="s">
        <v>130</v>
      </c>
      <c r="C81" s="77"/>
      <c r="D81" s="78"/>
      <c r="E81" s="94">
        <f>BSPD!L42</f>
        <v>1</v>
      </c>
      <c r="F81" s="94"/>
      <c r="G81" s="94"/>
      <c r="H81" s="94">
        <v>50</v>
      </c>
      <c r="I81" s="94"/>
      <c r="J81" s="94"/>
      <c r="K81" s="95" t="str">
        <f t="shared" ref="K81" si="36">IF(2*E81&gt;H81, "O", "")</f>
        <v/>
      </c>
      <c r="L81" s="95"/>
      <c r="M81" s="92" t="b">
        <v>0</v>
      </c>
      <c r="N81" s="92"/>
    </row>
    <row r="82" spans="2:14" x14ac:dyDescent="0.4">
      <c r="B82" s="79"/>
      <c r="C82" s="80"/>
      <c r="D82" s="81"/>
      <c r="E82" s="94"/>
      <c r="F82" s="94"/>
      <c r="G82" s="94"/>
      <c r="H82" s="94"/>
      <c r="I82" s="94"/>
      <c r="J82" s="94"/>
      <c r="K82" s="96"/>
      <c r="L82" s="96"/>
      <c r="M82" s="93"/>
      <c r="N82" s="93"/>
    </row>
    <row r="83" spans="2:14" x14ac:dyDescent="0.4">
      <c r="B83" s="76" t="s">
        <v>131</v>
      </c>
      <c r="C83" s="77"/>
      <c r="D83" s="78"/>
      <c r="E83" s="94">
        <f>BSPD!L44</f>
        <v>1</v>
      </c>
      <c r="F83" s="94"/>
      <c r="G83" s="94"/>
      <c r="H83" s="94">
        <v>0</v>
      </c>
      <c r="I83" s="94"/>
      <c r="J83" s="94"/>
      <c r="K83" s="95" t="str">
        <f t="shared" ref="K83" si="37">IF(2*E83&gt;H83, "O", "")</f>
        <v>O</v>
      </c>
      <c r="L83" s="95"/>
      <c r="M83" s="92" t="b">
        <v>0</v>
      </c>
      <c r="N83" s="92"/>
    </row>
    <row r="84" spans="2:14" x14ac:dyDescent="0.4">
      <c r="B84" s="79"/>
      <c r="C84" s="80"/>
      <c r="D84" s="81"/>
      <c r="E84" s="94"/>
      <c r="F84" s="94"/>
      <c r="G84" s="94"/>
      <c r="H84" s="94"/>
      <c r="I84" s="94"/>
      <c r="J84" s="94"/>
      <c r="K84" s="96"/>
      <c r="L84" s="96"/>
      <c r="M84" s="93"/>
      <c r="N84" s="93"/>
    </row>
    <row r="85" spans="2:14" x14ac:dyDescent="0.4">
      <c r="B85" s="76" t="s">
        <v>132</v>
      </c>
      <c r="C85" s="77"/>
      <c r="D85" s="78"/>
      <c r="E85" s="94">
        <f>BSPD!L46</f>
        <v>1</v>
      </c>
      <c r="F85" s="94"/>
      <c r="G85" s="94"/>
      <c r="H85" s="94">
        <v>50</v>
      </c>
      <c r="I85" s="94"/>
      <c r="J85" s="94"/>
      <c r="K85" s="95" t="str">
        <f t="shared" ref="K85" si="38">IF(2*E85&gt;H85, "O", "")</f>
        <v/>
      </c>
      <c r="L85" s="95"/>
      <c r="M85" s="92" t="b">
        <v>0</v>
      </c>
      <c r="N85" s="92"/>
    </row>
    <row r="86" spans="2:14" x14ac:dyDescent="0.4">
      <c r="B86" s="79"/>
      <c r="C86" s="80"/>
      <c r="D86" s="81"/>
      <c r="E86" s="94"/>
      <c r="F86" s="94"/>
      <c r="G86" s="94"/>
      <c r="H86" s="94"/>
      <c r="I86" s="94"/>
      <c r="J86" s="94"/>
      <c r="K86" s="96"/>
      <c r="L86" s="96"/>
      <c r="M86" s="93"/>
      <c r="N86" s="93"/>
    </row>
  </sheetData>
  <dataConsolidate/>
  <mergeCells count="241">
    <mergeCell ref="M6:N6"/>
    <mergeCell ref="B2:N5"/>
    <mergeCell ref="M9:N10"/>
    <mergeCell ref="M11:N12"/>
    <mergeCell ref="M13:N14"/>
    <mergeCell ref="K13:L14"/>
    <mergeCell ref="K15:L16"/>
    <mergeCell ref="K17:L18"/>
    <mergeCell ref="K19:L20"/>
    <mergeCell ref="M7:N8"/>
    <mergeCell ref="K6:L6"/>
    <mergeCell ref="K7:L8"/>
    <mergeCell ref="K9:L10"/>
    <mergeCell ref="K11:L12"/>
    <mergeCell ref="B19:D20"/>
    <mergeCell ref="E71:G72"/>
    <mergeCell ref="H71:J72"/>
    <mergeCell ref="M33:N34"/>
    <mergeCell ref="M15:N16"/>
    <mergeCell ref="M17:N18"/>
    <mergeCell ref="M19:N20"/>
    <mergeCell ref="M21:N22"/>
    <mergeCell ref="M23:N24"/>
    <mergeCell ref="M25:N26"/>
    <mergeCell ref="K21:L22"/>
    <mergeCell ref="K23:L24"/>
    <mergeCell ref="M27:N28"/>
    <mergeCell ref="M29:N30"/>
    <mergeCell ref="M31:N32"/>
    <mergeCell ref="B61:D62"/>
    <mergeCell ref="E61:G62"/>
    <mergeCell ref="H61:J62"/>
    <mergeCell ref="B63:D64"/>
    <mergeCell ref="E63:G64"/>
    <mergeCell ref="H63:J64"/>
    <mergeCell ref="B57:D58"/>
    <mergeCell ref="E57:G58"/>
    <mergeCell ref="H57:J58"/>
    <mergeCell ref="B59:D60"/>
    <mergeCell ref="E59:G60"/>
    <mergeCell ref="H59:J60"/>
    <mergeCell ref="B53:D54"/>
    <mergeCell ref="E53:G54"/>
    <mergeCell ref="H53:J54"/>
    <mergeCell ref="B55:D56"/>
    <mergeCell ref="E55:G56"/>
    <mergeCell ref="H55:J56"/>
    <mergeCell ref="E49:G50"/>
    <mergeCell ref="H49:J50"/>
    <mergeCell ref="E51:G52"/>
    <mergeCell ref="H51:J52"/>
    <mergeCell ref="H45:J46"/>
    <mergeCell ref="E47:G48"/>
    <mergeCell ref="H47:J48"/>
    <mergeCell ref="B65:D66"/>
    <mergeCell ref="E65:G66"/>
    <mergeCell ref="H65:J66"/>
    <mergeCell ref="K85:L86"/>
    <mergeCell ref="E29:G30"/>
    <mergeCell ref="H29:J30"/>
    <mergeCell ref="E31:G32"/>
    <mergeCell ref="H31:J32"/>
    <mergeCell ref="E37:G38"/>
    <mergeCell ref="H37:J38"/>
    <mergeCell ref="E39:G40"/>
    <mergeCell ref="H39:J40"/>
    <mergeCell ref="E33:G34"/>
    <mergeCell ref="H33:J34"/>
    <mergeCell ref="K49:L50"/>
    <mergeCell ref="K51:L52"/>
    <mergeCell ref="K53:L54"/>
    <mergeCell ref="E41:G42"/>
    <mergeCell ref="H41:J42"/>
    <mergeCell ref="E43:G44"/>
    <mergeCell ref="H43:J44"/>
    <mergeCell ref="K61:L62"/>
    <mergeCell ref="K63:L64"/>
    <mergeCell ref="K65:L66"/>
    <mergeCell ref="K55:L56"/>
    <mergeCell ref="K57:L58"/>
    <mergeCell ref="K59:L60"/>
    <mergeCell ref="K41:L42"/>
    <mergeCell ref="K43:L44"/>
    <mergeCell ref="K45:L46"/>
    <mergeCell ref="K47:L48"/>
    <mergeCell ref="K25:L26"/>
    <mergeCell ref="K27:L28"/>
    <mergeCell ref="K29:L30"/>
    <mergeCell ref="K31:L32"/>
    <mergeCell ref="K33:L34"/>
    <mergeCell ref="K35:L36"/>
    <mergeCell ref="B6:D6"/>
    <mergeCell ref="E6:G6"/>
    <mergeCell ref="H6:J6"/>
    <mergeCell ref="B7:D8"/>
    <mergeCell ref="E7:G8"/>
    <mergeCell ref="H7:J8"/>
    <mergeCell ref="B9:D10"/>
    <mergeCell ref="E19:G20"/>
    <mergeCell ref="H19:J20"/>
    <mergeCell ref="E15:G16"/>
    <mergeCell ref="H15:J16"/>
    <mergeCell ref="E17:G18"/>
    <mergeCell ref="H17:J18"/>
    <mergeCell ref="B31:D32"/>
    <mergeCell ref="E9:G10"/>
    <mergeCell ref="H9:J10"/>
    <mergeCell ref="B11:D12"/>
    <mergeCell ref="E11:G12"/>
    <mergeCell ref="H11:J12"/>
    <mergeCell ref="B13:D14"/>
    <mergeCell ref="E13:G14"/>
    <mergeCell ref="H13:J14"/>
    <mergeCell ref="E21:G22"/>
    <mergeCell ref="H21:J22"/>
    <mergeCell ref="E35:G36"/>
    <mergeCell ref="H35:J36"/>
    <mergeCell ref="B45:D46"/>
    <mergeCell ref="E45:G46"/>
    <mergeCell ref="B47:D48"/>
    <mergeCell ref="B51:D52"/>
    <mergeCell ref="B49:D50"/>
    <mergeCell ref="B35:D36"/>
    <mergeCell ref="B33:D34"/>
    <mergeCell ref="B39:D40"/>
    <mergeCell ref="B37:D38"/>
    <mergeCell ref="B41:D42"/>
    <mergeCell ref="B43:D44"/>
    <mergeCell ref="B23:D24"/>
    <mergeCell ref="E23:G24"/>
    <mergeCell ref="H23:J24"/>
    <mergeCell ref="B25:D26"/>
    <mergeCell ref="E25:G26"/>
    <mergeCell ref="H25:J26"/>
    <mergeCell ref="B27:D28"/>
    <mergeCell ref="E27:G28"/>
    <mergeCell ref="H27:J28"/>
    <mergeCell ref="E67:G68"/>
    <mergeCell ref="H67:J68"/>
    <mergeCell ref="E77:G78"/>
    <mergeCell ref="H77:J78"/>
    <mergeCell ref="M77:N78"/>
    <mergeCell ref="M79:N80"/>
    <mergeCell ref="M81:N82"/>
    <mergeCell ref="B79:D80"/>
    <mergeCell ref="E79:G80"/>
    <mergeCell ref="H79:J80"/>
    <mergeCell ref="K67:L68"/>
    <mergeCell ref="K69:L70"/>
    <mergeCell ref="K71:L72"/>
    <mergeCell ref="B67:D68"/>
    <mergeCell ref="B73:D74"/>
    <mergeCell ref="E73:G74"/>
    <mergeCell ref="H73:J74"/>
    <mergeCell ref="B75:D76"/>
    <mergeCell ref="E75:G76"/>
    <mergeCell ref="H75:J76"/>
    <mergeCell ref="B69:D70"/>
    <mergeCell ref="E69:G70"/>
    <mergeCell ref="H69:J70"/>
    <mergeCell ref="B71:D72"/>
    <mergeCell ref="E81:G82"/>
    <mergeCell ref="H81:J82"/>
    <mergeCell ref="E83:G84"/>
    <mergeCell ref="H83:J84"/>
    <mergeCell ref="K73:L74"/>
    <mergeCell ref="K75:L76"/>
    <mergeCell ref="K77:L78"/>
    <mergeCell ref="K79:L80"/>
    <mergeCell ref="K81:L82"/>
    <mergeCell ref="K83:L84"/>
    <mergeCell ref="H85:J86"/>
    <mergeCell ref="M35:N36"/>
    <mergeCell ref="M37:N38"/>
    <mergeCell ref="M39:N40"/>
    <mergeCell ref="M41:N42"/>
    <mergeCell ref="M43:N44"/>
    <mergeCell ref="M45:N46"/>
    <mergeCell ref="M47:N48"/>
    <mergeCell ref="M49:N50"/>
    <mergeCell ref="M51:N52"/>
    <mergeCell ref="M53:N54"/>
    <mergeCell ref="M55:N56"/>
    <mergeCell ref="M57:N58"/>
    <mergeCell ref="M59:N60"/>
    <mergeCell ref="M61:N62"/>
    <mergeCell ref="M63:N64"/>
    <mergeCell ref="M65:N66"/>
    <mergeCell ref="M67:N68"/>
    <mergeCell ref="M69:N70"/>
    <mergeCell ref="M71:N72"/>
    <mergeCell ref="M73:N74"/>
    <mergeCell ref="M75:N76"/>
    <mergeCell ref="K37:L38"/>
    <mergeCell ref="K39:L40"/>
    <mergeCell ref="B29:D30"/>
    <mergeCell ref="B17:D18"/>
    <mergeCell ref="B15:D16"/>
    <mergeCell ref="B21:D22"/>
    <mergeCell ref="B77:D78"/>
    <mergeCell ref="B83:D84"/>
    <mergeCell ref="B81:D82"/>
    <mergeCell ref="B85:D86"/>
    <mergeCell ref="P2:W2"/>
    <mergeCell ref="P3:W4"/>
    <mergeCell ref="P5:W6"/>
    <mergeCell ref="P7:W8"/>
    <mergeCell ref="P9:W10"/>
    <mergeCell ref="V31:X32"/>
    <mergeCell ref="S31:U32"/>
    <mergeCell ref="P31:R32"/>
    <mergeCell ref="V28:X30"/>
    <mergeCell ref="S28:U30"/>
    <mergeCell ref="P28:R30"/>
    <mergeCell ref="P25:AA27"/>
    <mergeCell ref="P12:T12"/>
    <mergeCell ref="M83:N84"/>
    <mergeCell ref="M85:N86"/>
    <mergeCell ref="E85:G86"/>
    <mergeCell ref="X9:Z10"/>
    <mergeCell ref="AA9:AD10"/>
    <mergeCell ref="V14:AC16"/>
    <mergeCell ref="V12:AC13"/>
    <mergeCell ref="X2:Z2"/>
    <mergeCell ref="AA2:AD2"/>
    <mergeCell ref="X3:Z4"/>
    <mergeCell ref="AA3:AD4"/>
    <mergeCell ref="X5:Z6"/>
    <mergeCell ref="AA5:AD6"/>
    <mergeCell ref="X7:Z8"/>
    <mergeCell ref="AA7:AD8"/>
    <mergeCell ref="P16:Q16"/>
    <mergeCell ref="AI31:AK32"/>
    <mergeCell ref="AF31:AH32"/>
    <mergeCell ref="AC31:AE32"/>
    <mergeCell ref="AC25:AK27"/>
    <mergeCell ref="AI28:AK30"/>
    <mergeCell ref="AF28:AH30"/>
    <mergeCell ref="AC28:AE30"/>
    <mergeCell ref="Y28:AA30"/>
    <mergeCell ref="Y31:AA32"/>
  </mergeCells>
  <phoneticPr fontId="4" type="noConversion"/>
  <hyperlinks>
    <hyperlink ref="P3" r:id="rId1" xr:uid="{C1BEC9AF-4662-4EB7-9012-7A0DF9C4A714}"/>
    <hyperlink ref="P5" r:id="rId2" xr:uid="{79297717-CE24-4314-9ED2-58F46D04399E}"/>
    <hyperlink ref="P7" r:id="rId3" xr:uid="{5760A6E9-B534-40A5-BEBA-409961B3425A}"/>
    <hyperlink ref="P9" r:id="rId4" xr:uid="{5F91EC78-CC22-496D-A846-7555A0C4C3A3}"/>
  </hyperlinks>
  <pageMargins left="0.69999998807907104" right="0.69999998807907104" top="0.75" bottom="0.75" header="0.30000001192092896" footer="0.30000001192092896"/>
  <pageSetup paperSize="9" fitToWidth="0" fitToHeight="0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55"/>
  <sheetViews>
    <sheetView zoomScale="40" zoomScaleNormal="40" zoomScaleSheetLayoutView="75" workbookViewId="0">
      <selection activeCell="E51" sqref="E51:G53"/>
    </sheetView>
  </sheetViews>
  <sheetFormatPr defaultColWidth="8.796875" defaultRowHeight="17.399999999999999" x14ac:dyDescent="0.4"/>
  <cols>
    <col min="16" max="16" width="8.796875" customWidth="1"/>
    <col min="17" max="18" width="8.796875" bestFit="1" customWidth="1"/>
    <col min="27" max="27" width="8.796875" bestFit="1" customWidth="1"/>
  </cols>
  <sheetData>
    <row r="1" spans="2:30" ht="18" thickBot="1" x14ac:dyDescent="0.45"/>
    <row r="2" spans="2:30" ht="17.399999999999999" customHeight="1" x14ac:dyDescent="0.4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25"/>
      <c r="Q2" s="104" t="s">
        <v>2</v>
      </c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25"/>
    </row>
    <row r="3" spans="2:30" ht="17.399999999999999" customHeight="1" x14ac:dyDescent="0.4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26"/>
      <c r="Q3" s="106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26"/>
    </row>
    <row r="4" spans="2:30" ht="17.399999999999999" customHeight="1" x14ac:dyDescent="0.4"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26"/>
      <c r="Q4" s="106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26"/>
    </row>
    <row r="5" spans="2:30" ht="17.399999999999999" customHeight="1" thickBot="1" x14ac:dyDescent="0.45">
      <c r="B5" s="108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27"/>
      <c r="Q5" s="108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27"/>
    </row>
    <row r="6" spans="2:30" ht="17.399999999999999" customHeight="1" x14ac:dyDescent="0.4">
      <c r="B6" s="131" t="s">
        <v>9</v>
      </c>
      <c r="C6" s="119" t="s">
        <v>8</v>
      </c>
      <c r="D6" s="120"/>
      <c r="E6" s="121"/>
      <c r="F6" s="119" t="s">
        <v>7</v>
      </c>
      <c r="G6" s="120"/>
      <c r="H6" s="120"/>
      <c r="I6" s="120"/>
      <c r="J6" s="120"/>
      <c r="K6" s="121"/>
      <c r="L6" s="119" t="s">
        <v>24</v>
      </c>
      <c r="M6" s="121"/>
      <c r="N6" s="119" t="s">
        <v>25</v>
      </c>
      <c r="O6" s="121"/>
      <c r="Q6" s="128" t="s">
        <v>9</v>
      </c>
      <c r="R6" s="67" t="s">
        <v>8</v>
      </c>
      <c r="S6" s="68"/>
      <c r="T6" s="69"/>
      <c r="U6" s="67" t="s">
        <v>7</v>
      </c>
      <c r="V6" s="68"/>
      <c r="W6" s="68"/>
      <c r="X6" s="68"/>
      <c r="Y6" s="68"/>
      <c r="Z6" s="69"/>
      <c r="AA6" s="67" t="s">
        <v>24</v>
      </c>
      <c r="AB6" s="69"/>
      <c r="AC6" s="67" t="s">
        <v>25</v>
      </c>
      <c r="AD6" s="69"/>
    </row>
    <row r="7" spans="2:30" ht="18" customHeight="1" thickBot="1" x14ac:dyDescent="0.45">
      <c r="B7" s="132"/>
      <c r="C7" s="122"/>
      <c r="D7" s="123"/>
      <c r="E7" s="124"/>
      <c r="F7" s="122"/>
      <c r="G7" s="123"/>
      <c r="H7" s="123"/>
      <c r="I7" s="123"/>
      <c r="J7" s="123"/>
      <c r="K7" s="124"/>
      <c r="L7" s="122"/>
      <c r="M7" s="124"/>
      <c r="N7" s="122"/>
      <c r="O7" s="124"/>
      <c r="Q7" s="129"/>
      <c r="R7" s="70"/>
      <c r="S7" s="71"/>
      <c r="T7" s="72"/>
      <c r="U7" s="70"/>
      <c r="V7" s="71"/>
      <c r="W7" s="71"/>
      <c r="X7" s="71"/>
      <c r="Y7" s="71"/>
      <c r="Z7" s="72"/>
      <c r="AA7" s="70"/>
      <c r="AB7" s="72"/>
      <c r="AC7" s="70"/>
      <c r="AD7" s="72"/>
    </row>
    <row r="8" spans="2:30" x14ac:dyDescent="0.4">
      <c r="B8" s="130">
        <v>1</v>
      </c>
      <c r="C8" s="116" t="s">
        <v>3</v>
      </c>
      <c r="D8" s="59"/>
      <c r="E8" s="102"/>
      <c r="F8" s="116" t="s">
        <v>30</v>
      </c>
      <c r="G8" s="59"/>
      <c r="H8" s="59"/>
      <c r="I8" s="59"/>
      <c r="J8" s="59"/>
      <c r="K8" s="102"/>
      <c r="L8" s="116">
        <v>2</v>
      </c>
      <c r="M8" s="102"/>
      <c r="N8" s="116">
        <f>Total!H7</f>
        <v>23</v>
      </c>
      <c r="O8" s="102"/>
      <c r="Q8" s="130">
        <v>1</v>
      </c>
      <c r="R8" s="116" t="s">
        <v>3</v>
      </c>
      <c r="S8" s="59"/>
      <c r="T8" s="102"/>
      <c r="U8" s="116" t="s">
        <v>34</v>
      </c>
      <c r="V8" s="59"/>
      <c r="W8" s="59"/>
      <c r="X8" s="59"/>
      <c r="Y8" s="59"/>
      <c r="Z8" s="102"/>
      <c r="AA8" s="116">
        <v>1</v>
      </c>
      <c r="AB8" s="102"/>
      <c r="AC8" s="116">
        <f>Total!H7</f>
        <v>23</v>
      </c>
      <c r="AD8" s="102"/>
    </row>
    <row r="9" spans="2:30" x14ac:dyDescent="0.4">
      <c r="B9" s="134"/>
      <c r="C9" s="117"/>
      <c r="D9" s="133"/>
      <c r="E9" s="118"/>
      <c r="F9" s="117"/>
      <c r="G9" s="133"/>
      <c r="H9" s="133"/>
      <c r="I9" s="133"/>
      <c r="J9" s="133"/>
      <c r="K9" s="118"/>
      <c r="L9" s="117"/>
      <c r="M9" s="118"/>
      <c r="N9" s="117"/>
      <c r="O9" s="118"/>
      <c r="Q9" s="103"/>
      <c r="R9" s="79"/>
      <c r="S9" s="80"/>
      <c r="T9" s="81"/>
      <c r="U9" s="79"/>
      <c r="V9" s="80"/>
      <c r="W9" s="80"/>
      <c r="X9" s="80"/>
      <c r="Y9" s="80"/>
      <c r="Z9" s="81"/>
      <c r="AA9" s="79"/>
      <c r="AB9" s="81"/>
      <c r="AC9" s="79"/>
      <c r="AD9" s="81"/>
    </row>
    <row r="10" spans="2:30" x14ac:dyDescent="0.4">
      <c r="B10" s="103"/>
      <c r="C10" s="79"/>
      <c r="D10" s="80"/>
      <c r="E10" s="81"/>
      <c r="F10" s="79"/>
      <c r="G10" s="80"/>
      <c r="H10" s="80"/>
      <c r="I10" s="80"/>
      <c r="J10" s="80"/>
      <c r="K10" s="81"/>
      <c r="L10" s="79"/>
      <c r="M10" s="81"/>
      <c r="N10" s="79"/>
      <c r="O10" s="81"/>
      <c r="Q10" s="110">
        <v>2</v>
      </c>
      <c r="R10" s="97" t="s">
        <v>17</v>
      </c>
      <c r="S10" s="77"/>
      <c r="T10" s="78"/>
      <c r="U10" s="97" t="s">
        <v>33</v>
      </c>
      <c r="V10" s="77"/>
      <c r="W10" s="77"/>
      <c r="X10" s="77"/>
      <c r="Y10" s="77"/>
      <c r="Z10" s="78"/>
      <c r="AA10" s="97">
        <v>4</v>
      </c>
      <c r="AB10" s="78"/>
      <c r="AC10" s="97">
        <f>Total!H9</f>
        <v>26</v>
      </c>
      <c r="AD10" s="78"/>
    </row>
    <row r="11" spans="2:30" x14ac:dyDescent="0.4">
      <c r="B11" s="110">
        <v>2</v>
      </c>
      <c r="C11" s="76" t="s">
        <v>98</v>
      </c>
      <c r="D11" s="77"/>
      <c r="E11" s="78"/>
      <c r="F11" s="97" t="s">
        <v>6</v>
      </c>
      <c r="G11" s="77"/>
      <c r="H11" s="77"/>
      <c r="I11" s="77"/>
      <c r="J11" s="77"/>
      <c r="K11" s="78"/>
      <c r="L11" s="97">
        <v>5</v>
      </c>
      <c r="M11" s="78"/>
      <c r="N11" s="97">
        <f>Total!H9</f>
        <v>26</v>
      </c>
      <c r="O11" s="78"/>
      <c r="Q11" s="103"/>
      <c r="R11" s="79"/>
      <c r="S11" s="80"/>
      <c r="T11" s="81"/>
      <c r="U11" s="79"/>
      <c r="V11" s="80"/>
      <c r="W11" s="80"/>
      <c r="X11" s="80"/>
      <c r="Y11" s="80"/>
      <c r="Z11" s="81"/>
      <c r="AA11" s="79"/>
      <c r="AB11" s="81"/>
      <c r="AC11" s="79"/>
      <c r="AD11" s="81"/>
    </row>
    <row r="12" spans="2:30" x14ac:dyDescent="0.4">
      <c r="B12" s="134"/>
      <c r="C12" s="117"/>
      <c r="D12" s="133"/>
      <c r="E12" s="118"/>
      <c r="F12" s="79"/>
      <c r="G12" s="80"/>
      <c r="H12" s="80"/>
      <c r="I12" s="80"/>
      <c r="J12" s="80"/>
      <c r="K12" s="81"/>
      <c r="L12" s="117"/>
      <c r="M12" s="118"/>
      <c r="N12" s="117"/>
      <c r="O12" s="118"/>
      <c r="Q12" s="110">
        <v>3</v>
      </c>
      <c r="R12" s="76" t="s">
        <v>117</v>
      </c>
      <c r="S12" s="114"/>
      <c r="T12" s="111"/>
      <c r="U12" s="97" t="s">
        <v>0</v>
      </c>
      <c r="V12" s="77"/>
      <c r="W12" s="77"/>
      <c r="X12" s="77"/>
      <c r="Y12" s="77"/>
      <c r="Z12" s="78"/>
      <c r="AA12" s="97">
        <v>1</v>
      </c>
      <c r="AB12" s="78"/>
      <c r="AC12" s="76">
        <f>Total!H41</f>
        <v>50</v>
      </c>
      <c r="AD12" s="111"/>
    </row>
    <row r="13" spans="2:30" x14ac:dyDescent="0.4">
      <c r="B13" s="134"/>
      <c r="C13" s="117"/>
      <c r="D13" s="133"/>
      <c r="E13" s="118"/>
      <c r="F13" s="97" t="s">
        <v>29</v>
      </c>
      <c r="G13" s="77"/>
      <c r="H13" s="77"/>
      <c r="I13" s="77"/>
      <c r="J13" s="77"/>
      <c r="K13" s="78"/>
      <c r="L13" s="117"/>
      <c r="M13" s="118"/>
      <c r="N13" s="117"/>
      <c r="O13" s="118"/>
      <c r="Q13" s="103"/>
      <c r="R13" s="112"/>
      <c r="S13" s="115"/>
      <c r="T13" s="113"/>
      <c r="U13" s="79"/>
      <c r="V13" s="80"/>
      <c r="W13" s="80"/>
      <c r="X13" s="80"/>
      <c r="Y13" s="80"/>
      <c r="Z13" s="81"/>
      <c r="AA13" s="79"/>
      <c r="AB13" s="81"/>
      <c r="AC13" s="112"/>
      <c r="AD13" s="113"/>
    </row>
    <row r="14" spans="2:30" x14ac:dyDescent="0.4">
      <c r="B14" s="103"/>
      <c r="C14" s="79"/>
      <c r="D14" s="80"/>
      <c r="E14" s="81"/>
      <c r="F14" s="79"/>
      <c r="G14" s="80"/>
      <c r="H14" s="80"/>
      <c r="I14" s="80"/>
      <c r="J14" s="80"/>
      <c r="K14" s="81"/>
      <c r="L14" s="79"/>
      <c r="M14" s="81"/>
      <c r="N14" s="79"/>
      <c r="O14" s="81"/>
      <c r="Q14" s="110">
        <v>4</v>
      </c>
      <c r="R14" s="76" t="s">
        <v>41</v>
      </c>
      <c r="S14" s="114"/>
      <c r="T14" s="111"/>
      <c r="U14" s="97" t="s">
        <v>36</v>
      </c>
      <c r="V14" s="77"/>
      <c r="W14" s="77"/>
      <c r="X14" s="77"/>
      <c r="Y14" s="77"/>
      <c r="Z14" s="78"/>
      <c r="AA14" s="97">
        <v>3</v>
      </c>
      <c r="AB14" s="78"/>
      <c r="AC14" s="76">
        <f>Total!H43</f>
        <v>100</v>
      </c>
      <c r="AD14" s="111"/>
    </row>
    <row r="15" spans="2:30" x14ac:dyDescent="0.4">
      <c r="B15" s="110">
        <v>4</v>
      </c>
      <c r="C15" s="97" t="s">
        <v>28</v>
      </c>
      <c r="D15" s="77"/>
      <c r="E15" s="78"/>
      <c r="F15" s="97" t="s">
        <v>16</v>
      </c>
      <c r="G15" s="77"/>
      <c r="H15" s="77"/>
      <c r="I15" s="77"/>
      <c r="J15" s="77"/>
      <c r="K15" s="78"/>
      <c r="L15" s="97">
        <v>1</v>
      </c>
      <c r="M15" s="78"/>
      <c r="N15" s="97">
        <f>Total!H11</f>
        <v>10</v>
      </c>
      <c r="O15" s="78"/>
      <c r="Q15" s="103"/>
      <c r="R15" s="112"/>
      <c r="S15" s="115"/>
      <c r="T15" s="113"/>
      <c r="U15" s="79"/>
      <c r="V15" s="80"/>
      <c r="W15" s="80"/>
      <c r="X15" s="80"/>
      <c r="Y15" s="80"/>
      <c r="Z15" s="81"/>
      <c r="AA15" s="79"/>
      <c r="AB15" s="81"/>
      <c r="AC15" s="112"/>
      <c r="AD15" s="113"/>
    </row>
    <row r="16" spans="2:30" x14ac:dyDescent="0.4">
      <c r="B16" s="103"/>
      <c r="C16" s="79"/>
      <c r="D16" s="80"/>
      <c r="E16" s="81"/>
      <c r="F16" s="79"/>
      <c r="G16" s="80"/>
      <c r="H16" s="80"/>
      <c r="I16" s="80"/>
      <c r="J16" s="80"/>
      <c r="K16" s="81"/>
      <c r="L16" s="79"/>
      <c r="M16" s="81"/>
      <c r="N16" s="79"/>
      <c r="O16" s="81"/>
      <c r="Q16" s="110">
        <v>5</v>
      </c>
      <c r="R16" s="97" t="s">
        <v>26</v>
      </c>
      <c r="S16" s="77"/>
      <c r="T16" s="78"/>
      <c r="U16" s="97" t="s">
        <v>38</v>
      </c>
      <c r="V16" s="77"/>
      <c r="W16" s="77"/>
      <c r="X16" s="77"/>
      <c r="Y16" s="77"/>
      <c r="Z16" s="78"/>
      <c r="AA16" s="97">
        <v>1</v>
      </c>
      <c r="AB16" s="78"/>
      <c r="AC16" s="97">
        <f>Total!H25</f>
        <v>24</v>
      </c>
      <c r="AD16" s="78"/>
    </row>
    <row r="17" spans="2:30" x14ac:dyDescent="0.4">
      <c r="B17" s="110">
        <v>5</v>
      </c>
      <c r="C17" s="76" t="s">
        <v>100</v>
      </c>
      <c r="D17" s="77"/>
      <c r="E17" s="78"/>
      <c r="F17" s="97" t="s">
        <v>16</v>
      </c>
      <c r="G17" s="77"/>
      <c r="H17" s="77"/>
      <c r="I17" s="77"/>
      <c r="J17" s="77"/>
      <c r="K17" s="78"/>
      <c r="L17" s="97">
        <v>1</v>
      </c>
      <c r="M17" s="78"/>
      <c r="N17" s="97">
        <f>Total!H13</f>
        <v>0</v>
      </c>
      <c r="O17" s="78"/>
      <c r="Q17" s="103"/>
      <c r="R17" s="79"/>
      <c r="S17" s="80"/>
      <c r="T17" s="81"/>
      <c r="U17" s="79"/>
      <c r="V17" s="80"/>
      <c r="W17" s="80"/>
      <c r="X17" s="80"/>
      <c r="Y17" s="80"/>
      <c r="Z17" s="81"/>
      <c r="AA17" s="79"/>
      <c r="AB17" s="81"/>
      <c r="AC17" s="79"/>
      <c r="AD17" s="81"/>
    </row>
    <row r="18" spans="2:30" x14ac:dyDescent="0.4">
      <c r="B18" s="103"/>
      <c r="C18" s="79"/>
      <c r="D18" s="80"/>
      <c r="E18" s="81"/>
      <c r="F18" s="79"/>
      <c r="G18" s="80"/>
      <c r="H18" s="80"/>
      <c r="I18" s="80"/>
      <c r="J18" s="80"/>
      <c r="K18" s="81"/>
      <c r="L18" s="79"/>
      <c r="M18" s="81"/>
      <c r="N18" s="79"/>
      <c r="O18" s="81"/>
      <c r="Q18" s="110">
        <v>6</v>
      </c>
      <c r="R18" s="76" t="s">
        <v>118</v>
      </c>
      <c r="S18" s="114"/>
      <c r="T18" s="111"/>
      <c r="U18" s="97" t="s">
        <v>39</v>
      </c>
      <c r="V18" s="77"/>
      <c r="W18" s="77"/>
      <c r="X18" s="77"/>
      <c r="Y18" s="77"/>
      <c r="Z18" s="78"/>
      <c r="AA18" s="97">
        <v>1</v>
      </c>
      <c r="AB18" s="78"/>
      <c r="AC18" s="76">
        <f>Total!H45</f>
        <v>12</v>
      </c>
      <c r="AD18" s="111"/>
    </row>
    <row r="19" spans="2:30" x14ac:dyDescent="0.4">
      <c r="B19" s="110">
        <v>6</v>
      </c>
      <c r="C19" s="76" t="s">
        <v>65</v>
      </c>
      <c r="D19" s="77"/>
      <c r="E19" s="78"/>
      <c r="F19" s="97" t="s">
        <v>18</v>
      </c>
      <c r="G19" s="77"/>
      <c r="H19" s="77"/>
      <c r="I19" s="77"/>
      <c r="J19" s="77"/>
      <c r="K19" s="78"/>
      <c r="L19" s="97">
        <v>2</v>
      </c>
      <c r="M19" s="78"/>
      <c r="N19" s="76">
        <f>Total!H15</f>
        <v>12</v>
      </c>
      <c r="O19" s="111"/>
      <c r="Q19" s="103"/>
      <c r="R19" s="112"/>
      <c r="S19" s="115"/>
      <c r="T19" s="113"/>
      <c r="U19" s="79"/>
      <c r="V19" s="80"/>
      <c r="W19" s="80"/>
      <c r="X19" s="80"/>
      <c r="Y19" s="80"/>
      <c r="Z19" s="81"/>
      <c r="AA19" s="79"/>
      <c r="AB19" s="81"/>
      <c r="AC19" s="112"/>
      <c r="AD19" s="113"/>
    </row>
    <row r="20" spans="2:30" x14ac:dyDescent="0.4">
      <c r="B20" s="103"/>
      <c r="C20" s="79"/>
      <c r="D20" s="80"/>
      <c r="E20" s="81"/>
      <c r="F20" s="79"/>
      <c r="G20" s="80"/>
      <c r="H20" s="80"/>
      <c r="I20" s="80"/>
      <c r="J20" s="80"/>
      <c r="K20" s="81"/>
      <c r="L20" s="79"/>
      <c r="M20" s="81"/>
      <c r="N20" s="112"/>
      <c r="O20" s="113"/>
      <c r="Q20" s="110">
        <v>7</v>
      </c>
      <c r="R20" s="97" t="s">
        <v>27</v>
      </c>
      <c r="S20" s="77"/>
      <c r="T20" s="78"/>
      <c r="U20" s="97" t="s">
        <v>14</v>
      </c>
      <c r="V20" s="77"/>
      <c r="W20" s="77"/>
      <c r="X20" s="77"/>
      <c r="Y20" s="77"/>
      <c r="Z20" s="78"/>
      <c r="AA20" s="97">
        <v>4</v>
      </c>
      <c r="AB20" s="78"/>
      <c r="AC20" s="76">
        <f>Total!H27</f>
        <v>50</v>
      </c>
      <c r="AD20" s="111"/>
    </row>
    <row r="21" spans="2:30" x14ac:dyDescent="0.4">
      <c r="B21" s="110">
        <v>7</v>
      </c>
      <c r="C21" s="76" t="s">
        <v>105</v>
      </c>
      <c r="D21" s="77"/>
      <c r="E21" s="78"/>
      <c r="F21" s="97" t="s">
        <v>12</v>
      </c>
      <c r="G21" s="77"/>
      <c r="H21" s="77"/>
      <c r="I21" s="77"/>
      <c r="J21" s="77"/>
      <c r="K21" s="78"/>
      <c r="L21" s="97">
        <v>1</v>
      </c>
      <c r="M21" s="78"/>
      <c r="N21" s="76">
        <f>Total!H17</f>
        <v>20</v>
      </c>
      <c r="O21" s="111"/>
      <c r="Q21" s="103"/>
      <c r="R21" s="79"/>
      <c r="S21" s="80"/>
      <c r="T21" s="81"/>
      <c r="U21" s="79"/>
      <c r="V21" s="80"/>
      <c r="W21" s="80"/>
      <c r="X21" s="80"/>
      <c r="Y21" s="80"/>
      <c r="Z21" s="81"/>
      <c r="AA21" s="79"/>
      <c r="AB21" s="81"/>
      <c r="AC21" s="112"/>
      <c r="AD21" s="113"/>
    </row>
    <row r="22" spans="2:30" x14ac:dyDescent="0.4">
      <c r="B22" s="103"/>
      <c r="C22" s="79"/>
      <c r="D22" s="80"/>
      <c r="E22" s="81"/>
      <c r="F22" s="79"/>
      <c r="G22" s="80"/>
      <c r="H22" s="80"/>
      <c r="I22" s="80"/>
      <c r="J22" s="80"/>
      <c r="K22" s="81"/>
      <c r="L22" s="79"/>
      <c r="M22" s="81"/>
      <c r="N22" s="112"/>
      <c r="O22" s="113"/>
      <c r="Q22" s="110">
        <v>8</v>
      </c>
      <c r="R22" s="76" t="s">
        <v>88</v>
      </c>
      <c r="S22" s="114"/>
      <c r="T22" s="111"/>
      <c r="U22" s="97" t="s">
        <v>35</v>
      </c>
      <c r="V22" s="77"/>
      <c r="W22" s="77"/>
      <c r="X22" s="77"/>
      <c r="Y22" s="77"/>
      <c r="Z22" s="78"/>
      <c r="AA22" s="97">
        <v>1</v>
      </c>
      <c r="AB22" s="78"/>
      <c r="AC22" s="97">
        <f>Total!H47</f>
        <v>36</v>
      </c>
      <c r="AD22" s="78"/>
    </row>
    <row r="23" spans="2:30" x14ac:dyDescent="0.4">
      <c r="B23" s="110">
        <v>8</v>
      </c>
      <c r="C23" s="76" t="s">
        <v>106</v>
      </c>
      <c r="D23" s="77"/>
      <c r="E23" s="78"/>
      <c r="F23" s="97" t="s">
        <v>15</v>
      </c>
      <c r="G23" s="77"/>
      <c r="H23" s="77"/>
      <c r="I23" s="77"/>
      <c r="J23" s="77"/>
      <c r="K23" s="78"/>
      <c r="L23" s="97">
        <v>3</v>
      </c>
      <c r="M23" s="78"/>
      <c r="N23" s="76">
        <f>Total!H19</f>
        <v>50</v>
      </c>
      <c r="O23" s="111"/>
      <c r="Q23" s="103"/>
      <c r="R23" s="112"/>
      <c r="S23" s="115"/>
      <c r="T23" s="113"/>
      <c r="U23" s="79"/>
      <c r="V23" s="80"/>
      <c r="W23" s="80"/>
      <c r="X23" s="80"/>
      <c r="Y23" s="80"/>
      <c r="Z23" s="81"/>
      <c r="AA23" s="79"/>
      <c r="AB23" s="81"/>
      <c r="AC23" s="79"/>
      <c r="AD23" s="81"/>
    </row>
    <row r="24" spans="2:30" x14ac:dyDescent="0.4">
      <c r="B24" s="103"/>
      <c r="C24" s="79"/>
      <c r="D24" s="80"/>
      <c r="E24" s="81"/>
      <c r="F24" s="79"/>
      <c r="G24" s="80"/>
      <c r="H24" s="80"/>
      <c r="I24" s="80"/>
      <c r="J24" s="80"/>
      <c r="K24" s="81"/>
      <c r="L24" s="79"/>
      <c r="M24" s="81"/>
      <c r="N24" s="112"/>
      <c r="O24" s="113"/>
      <c r="Q24" s="110">
        <v>9</v>
      </c>
      <c r="R24" s="76" t="s">
        <v>119</v>
      </c>
      <c r="S24" s="114"/>
      <c r="T24" s="111"/>
      <c r="U24" s="97" t="s">
        <v>37</v>
      </c>
      <c r="V24" s="77"/>
      <c r="W24" s="77"/>
      <c r="X24" s="77"/>
      <c r="Y24" s="77"/>
      <c r="Z24" s="78"/>
      <c r="AA24" s="97">
        <v>1</v>
      </c>
      <c r="AB24" s="78"/>
      <c r="AC24" s="76">
        <f>Total!H49</f>
        <v>50</v>
      </c>
      <c r="AD24" s="111"/>
    </row>
    <row r="25" spans="2:30" x14ac:dyDescent="0.4">
      <c r="B25" s="110">
        <v>9</v>
      </c>
      <c r="C25" s="76" t="s">
        <v>108</v>
      </c>
      <c r="D25" s="77"/>
      <c r="E25" s="78"/>
      <c r="F25" s="97" t="s">
        <v>11</v>
      </c>
      <c r="G25" s="77"/>
      <c r="H25" s="77"/>
      <c r="I25" s="77"/>
      <c r="J25" s="77"/>
      <c r="K25" s="78"/>
      <c r="L25" s="97">
        <v>1</v>
      </c>
      <c r="M25" s="78"/>
      <c r="N25" s="97">
        <f>Total!H21</f>
        <v>5</v>
      </c>
      <c r="O25" s="78"/>
      <c r="Q25" s="103"/>
      <c r="R25" s="112"/>
      <c r="S25" s="115"/>
      <c r="T25" s="113"/>
      <c r="U25" s="79"/>
      <c r="V25" s="80"/>
      <c r="W25" s="80"/>
      <c r="X25" s="80"/>
      <c r="Y25" s="80"/>
      <c r="Z25" s="81"/>
      <c r="AA25" s="79"/>
      <c r="AB25" s="81"/>
      <c r="AC25" s="112"/>
      <c r="AD25" s="113"/>
    </row>
    <row r="26" spans="2:30" x14ac:dyDescent="0.4">
      <c r="B26" s="103"/>
      <c r="C26" s="79"/>
      <c r="D26" s="80"/>
      <c r="E26" s="81"/>
      <c r="F26" s="79"/>
      <c r="G26" s="80"/>
      <c r="H26" s="80"/>
      <c r="I26" s="80"/>
      <c r="J26" s="80"/>
      <c r="K26" s="81"/>
      <c r="L26" s="79"/>
      <c r="M26" s="81"/>
      <c r="N26" s="79"/>
      <c r="O26" s="81"/>
      <c r="Q26" s="110">
        <v>10</v>
      </c>
      <c r="R26" s="97" t="s">
        <v>31</v>
      </c>
      <c r="S26" s="77"/>
      <c r="T26" s="78"/>
      <c r="U26" s="97" t="s">
        <v>32</v>
      </c>
      <c r="V26" s="77"/>
      <c r="W26" s="77"/>
      <c r="X26" s="77"/>
      <c r="Y26" s="77"/>
      <c r="Z26" s="78"/>
      <c r="AA26" s="97">
        <v>1</v>
      </c>
      <c r="AB26" s="78"/>
      <c r="AC26" s="97">
        <f>Total!H29</f>
        <v>36</v>
      </c>
      <c r="AD26" s="78"/>
    </row>
    <row r="27" spans="2:30" x14ac:dyDescent="0.4">
      <c r="B27" s="110">
        <v>10</v>
      </c>
      <c r="C27" s="76" t="s">
        <v>87</v>
      </c>
      <c r="D27" s="114"/>
      <c r="E27" s="111"/>
      <c r="F27" s="97" t="s">
        <v>5</v>
      </c>
      <c r="G27" s="77"/>
      <c r="H27" s="77"/>
      <c r="I27" s="77"/>
      <c r="J27" s="77"/>
      <c r="K27" s="78"/>
      <c r="L27" s="97">
        <v>3</v>
      </c>
      <c r="M27" s="78"/>
      <c r="N27" s="97">
        <f>Total!H23</f>
        <v>40</v>
      </c>
      <c r="O27" s="78"/>
      <c r="Q27" s="103"/>
      <c r="R27" s="79"/>
      <c r="S27" s="80"/>
      <c r="T27" s="81"/>
      <c r="U27" s="79"/>
      <c r="V27" s="80"/>
      <c r="W27" s="80"/>
      <c r="X27" s="80"/>
      <c r="Y27" s="80"/>
      <c r="Z27" s="81"/>
      <c r="AA27" s="79"/>
      <c r="AB27" s="81"/>
      <c r="AC27" s="79"/>
      <c r="AD27" s="81"/>
    </row>
    <row r="28" spans="2:30" x14ac:dyDescent="0.4">
      <c r="B28" s="103"/>
      <c r="C28" s="112"/>
      <c r="D28" s="115"/>
      <c r="E28" s="113"/>
      <c r="F28" s="79"/>
      <c r="G28" s="80"/>
      <c r="H28" s="80"/>
      <c r="I28" s="80"/>
      <c r="J28" s="80"/>
      <c r="K28" s="81"/>
      <c r="L28" s="79"/>
      <c r="M28" s="81"/>
      <c r="N28" s="79"/>
      <c r="O28" s="81"/>
      <c r="Q28" s="110">
        <v>11</v>
      </c>
      <c r="R28" s="76" t="s">
        <v>137</v>
      </c>
      <c r="S28" s="114"/>
      <c r="T28" s="111"/>
      <c r="U28" s="76" t="s">
        <v>139</v>
      </c>
      <c r="V28" s="114"/>
      <c r="W28" s="114"/>
      <c r="X28" s="114"/>
      <c r="Y28" s="114"/>
      <c r="Z28" s="111"/>
      <c r="AA28" s="97">
        <v>1</v>
      </c>
      <c r="AB28" s="78"/>
      <c r="AC28" s="97">
        <f>Total!H51</f>
        <v>0</v>
      </c>
      <c r="AD28" s="78"/>
    </row>
    <row r="29" spans="2:30" x14ac:dyDescent="0.4">
      <c r="B29" s="110">
        <v>11</v>
      </c>
      <c r="C29" s="76" t="s">
        <v>62</v>
      </c>
      <c r="D29" s="77"/>
      <c r="E29" s="78"/>
      <c r="F29" s="97" t="s">
        <v>19</v>
      </c>
      <c r="G29" s="77"/>
      <c r="H29" s="77"/>
      <c r="I29" s="77"/>
      <c r="J29" s="77"/>
      <c r="K29" s="78"/>
      <c r="L29" s="97">
        <v>2</v>
      </c>
      <c r="M29" s="78"/>
      <c r="N29" s="97">
        <f>Total!H25</f>
        <v>24</v>
      </c>
      <c r="O29" s="78"/>
      <c r="Q29" s="103"/>
      <c r="R29" s="112"/>
      <c r="S29" s="115"/>
      <c r="T29" s="113"/>
      <c r="U29" s="112"/>
      <c r="V29" s="115"/>
      <c r="W29" s="115"/>
      <c r="X29" s="115"/>
      <c r="Y29" s="115"/>
      <c r="Z29" s="113"/>
      <c r="AA29" s="79"/>
      <c r="AB29" s="81"/>
      <c r="AC29" s="79"/>
      <c r="AD29" s="81"/>
    </row>
    <row r="30" spans="2:30" x14ac:dyDescent="0.4">
      <c r="B30" s="103"/>
      <c r="C30" s="79"/>
      <c r="D30" s="80"/>
      <c r="E30" s="81"/>
      <c r="F30" s="79"/>
      <c r="G30" s="80"/>
      <c r="H30" s="80"/>
      <c r="I30" s="80"/>
      <c r="J30" s="80"/>
      <c r="K30" s="81"/>
      <c r="L30" s="79"/>
      <c r="M30" s="81"/>
      <c r="N30" s="79"/>
      <c r="O30" s="8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2:30" x14ac:dyDescent="0.4">
      <c r="B31" s="110">
        <v>12</v>
      </c>
      <c r="C31" s="76" t="s">
        <v>42</v>
      </c>
      <c r="D31" s="77"/>
      <c r="E31" s="78"/>
      <c r="F31" s="76" t="s">
        <v>50</v>
      </c>
      <c r="G31" s="114"/>
      <c r="H31" s="114"/>
      <c r="I31" s="114"/>
      <c r="J31" s="114"/>
      <c r="K31" s="111"/>
      <c r="L31" s="97">
        <v>2</v>
      </c>
      <c r="M31" s="78"/>
      <c r="N31" s="76">
        <f>Total!H27</f>
        <v>50</v>
      </c>
      <c r="O31" s="111"/>
    </row>
    <row r="32" spans="2:30" x14ac:dyDescent="0.4">
      <c r="B32" s="103"/>
      <c r="C32" s="79"/>
      <c r="D32" s="80"/>
      <c r="E32" s="81"/>
      <c r="F32" s="112"/>
      <c r="G32" s="115"/>
      <c r="H32" s="115"/>
      <c r="I32" s="115"/>
      <c r="J32" s="115"/>
      <c r="K32" s="113"/>
      <c r="L32" s="79"/>
      <c r="M32" s="81"/>
      <c r="N32" s="112"/>
      <c r="O32" s="113"/>
      <c r="AC32" s="1" t="s">
        <v>91</v>
      </c>
      <c r="AD32" s="1"/>
    </row>
    <row r="33" spans="2:30" x14ac:dyDescent="0.4">
      <c r="B33" s="110">
        <v>13</v>
      </c>
      <c r="C33" s="76" t="s">
        <v>61</v>
      </c>
      <c r="D33" s="77"/>
      <c r="E33" s="78"/>
      <c r="F33" s="97" t="s">
        <v>23</v>
      </c>
      <c r="G33" s="77"/>
      <c r="H33" s="77"/>
      <c r="I33" s="77"/>
      <c r="J33" s="77"/>
      <c r="K33" s="78"/>
      <c r="L33" s="97">
        <v>1</v>
      </c>
      <c r="M33" s="78"/>
      <c r="N33" s="97">
        <f>Total!H29</f>
        <v>36</v>
      </c>
      <c r="O33" s="78"/>
      <c r="AC33" s="1"/>
      <c r="AD33" s="1"/>
    </row>
    <row r="34" spans="2:30" x14ac:dyDescent="0.4">
      <c r="B34" s="103"/>
      <c r="C34" s="79"/>
      <c r="D34" s="80"/>
      <c r="E34" s="81"/>
      <c r="F34" s="79"/>
      <c r="G34" s="80"/>
      <c r="H34" s="80"/>
      <c r="I34" s="80"/>
      <c r="J34" s="80"/>
      <c r="K34" s="81"/>
      <c r="L34" s="79"/>
      <c r="M34" s="81"/>
      <c r="N34" s="79"/>
      <c r="O34" s="81"/>
    </row>
    <row r="35" spans="2:30" x14ac:dyDescent="0.4">
      <c r="B35" s="110">
        <v>14</v>
      </c>
      <c r="C35" s="76" t="s">
        <v>109</v>
      </c>
      <c r="D35" s="77"/>
      <c r="E35" s="78"/>
      <c r="F35" s="97" t="s">
        <v>22</v>
      </c>
      <c r="G35" s="77"/>
      <c r="H35" s="77"/>
      <c r="I35" s="77"/>
      <c r="J35" s="77"/>
      <c r="K35" s="78"/>
      <c r="L35" s="97">
        <v>1</v>
      </c>
      <c r="M35" s="78"/>
      <c r="N35" s="97">
        <f>Total!H31</f>
        <v>0</v>
      </c>
      <c r="O35" s="78"/>
    </row>
    <row r="36" spans="2:30" x14ac:dyDescent="0.4">
      <c r="B36" s="103"/>
      <c r="C36" s="79"/>
      <c r="D36" s="80"/>
      <c r="E36" s="81"/>
      <c r="F36" s="79"/>
      <c r="G36" s="80"/>
      <c r="H36" s="80"/>
      <c r="I36" s="80"/>
      <c r="J36" s="80"/>
      <c r="K36" s="81"/>
      <c r="L36" s="79"/>
      <c r="M36" s="81"/>
      <c r="N36" s="79"/>
      <c r="O36" s="81"/>
    </row>
    <row r="37" spans="2:30" x14ac:dyDescent="0.4">
      <c r="B37" s="110">
        <v>15</v>
      </c>
      <c r="C37" s="76" t="s">
        <v>111</v>
      </c>
      <c r="D37" s="77"/>
      <c r="E37" s="78"/>
      <c r="F37" s="97" t="s">
        <v>20</v>
      </c>
      <c r="G37" s="77"/>
      <c r="H37" s="77"/>
      <c r="I37" s="77"/>
      <c r="J37" s="77"/>
      <c r="K37" s="78"/>
      <c r="L37" s="97">
        <v>1</v>
      </c>
      <c r="M37" s="78"/>
      <c r="N37" s="97">
        <f>Total!H33</f>
        <v>0</v>
      </c>
      <c r="O37" s="78"/>
    </row>
    <row r="38" spans="2:30" x14ac:dyDescent="0.4">
      <c r="B38" s="103"/>
      <c r="C38" s="79"/>
      <c r="D38" s="80"/>
      <c r="E38" s="81"/>
      <c r="F38" s="79"/>
      <c r="G38" s="80"/>
      <c r="H38" s="80"/>
      <c r="I38" s="80"/>
      <c r="J38" s="80"/>
      <c r="K38" s="81"/>
      <c r="L38" s="79"/>
      <c r="M38" s="81"/>
      <c r="N38" s="79"/>
      <c r="O38" s="81"/>
    </row>
    <row r="39" spans="2:30" x14ac:dyDescent="0.4">
      <c r="B39" s="110">
        <v>16</v>
      </c>
      <c r="C39" s="76" t="s">
        <v>113</v>
      </c>
      <c r="D39" s="77"/>
      <c r="E39" s="78"/>
      <c r="F39" s="97" t="s">
        <v>21</v>
      </c>
      <c r="G39" s="77"/>
      <c r="H39" s="77"/>
      <c r="I39" s="77"/>
      <c r="J39" s="77"/>
      <c r="K39" s="78"/>
      <c r="L39" s="97">
        <v>1</v>
      </c>
      <c r="M39" s="78"/>
      <c r="N39" s="76">
        <f>Total!H35</f>
        <v>50</v>
      </c>
      <c r="O39" s="111"/>
    </row>
    <row r="40" spans="2:30" x14ac:dyDescent="0.4">
      <c r="B40" s="103"/>
      <c r="C40" s="79"/>
      <c r="D40" s="80"/>
      <c r="E40" s="81"/>
      <c r="F40" s="79"/>
      <c r="G40" s="80"/>
      <c r="H40" s="80"/>
      <c r="I40" s="80"/>
      <c r="J40" s="80"/>
      <c r="K40" s="81"/>
      <c r="L40" s="79"/>
      <c r="M40" s="81"/>
      <c r="N40" s="112"/>
      <c r="O40" s="113"/>
    </row>
    <row r="41" spans="2:30" x14ac:dyDescent="0.4">
      <c r="B41" s="110">
        <v>17</v>
      </c>
      <c r="C41" s="76" t="s">
        <v>145</v>
      </c>
      <c r="D41" s="77"/>
      <c r="E41" s="78"/>
      <c r="F41" s="97" t="s">
        <v>10</v>
      </c>
      <c r="G41" s="77"/>
      <c r="H41" s="77"/>
      <c r="I41" s="77"/>
      <c r="J41" s="77"/>
      <c r="K41" s="78"/>
      <c r="L41" s="97">
        <v>1</v>
      </c>
      <c r="M41" s="78"/>
      <c r="N41" s="97">
        <f>Total!H37</f>
        <v>10</v>
      </c>
      <c r="O41" s="78"/>
    </row>
    <row r="42" spans="2:30" x14ac:dyDescent="0.4">
      <c r="B42" s="103"/>
      <c r="C42" s="79"/>
      <c r="D42" s="80"/>
      <c r="E42" s="81"/>
      <c r="F42" s="79"/>
      <c r="G42" s="80"/>
      <c r="H42" s="80"/>
      <c r="I42" s="80"/>
      <c r="J42" s="80"/>
      <c r="K42" s="81"/>
      <c r="L42" s="79"/>
      <c r="M42" s="81"/>
      <c r="N42" s="79"/>
      <c r="O42" s="81"/>
    </row>
    <row r="43" spans="2:30" x14ac:dyDescent="0.4">
      <c r="B43" s="110">
        <v>18</v>
      </c>
      <c r="C43" s="76" t="s">
        <v>115</v>
      </c>
      <c r="D43" s="77"/>
      <c r="E43" s="78"/>
      <c r="F43" s="97" t="s">
        <v>10</v>
      </c>
      <c r="G43" s="77"/>
      <c r="H43" s="77"/>
      <c r="I43" s="77"/>
      <c r="J43" s="77"/>
      <c r="K43" s="78"/>
      <c r="L43" s="97">
        <v>1</v>
      </c>
      <c r="M43" s="78"/>
      <c r="N43" s="76">
        <f>Total!H39</f>
        <v>50</v>
      </c>
      <c r="O43" s="111"/>
    </row>
    <row r="44" spans="2:30" x14ac:dyDescent="0.4">
      <c r="B44" s="103"/>
      <c r="C44" s="79"/>
      <c r="D44" s="80"/>
      <c r="E44" s="81"/>
      <c r="F44" s="79"/>
      <c r="G44" s="80"/>
      <c r="H44" s="80"/>
      <c r="I44" s="80"/>
      <c r="J44" s="80"/>
      <c r="K44" s="81"/>
      <c r="L44" s="79"/>
      <c r="M44" s="81"/>
      <c r="N44" s="112"/>
      <c r="O44" s="113"/>
    </row>
    <row r="46" spans="2:30" ht="17.399999999999999" customHeight="1" x14ac:dyDescent="0.4">
      <c r="Z46" s="12"/>
    </row>
    <row r="47" spans="2:30" ht="17.399999999999999" customHeight="1" thickBot="1" x14ac:dyDescent="0.45">
      <c r="Z47" s="12"/>
    </row>
    <row r="48" spans="2:30" ht="18" customHeight="1" x14ac:dyDescent="0.4">
      <c r="B48" s="22" t="s">
        <v>148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4"/>
      <c r="O48" s="22" t="s">
        <v>144</v>
      </c>
      <c r="P48" s="23"/>
      <c r="Q48" s="23"/>
      <c r="R48" s="23"/>
      <c r="S48" s="23"/>
      <c r="T48" s="23"/>
      <c r="U48" s="23"/>
      <c r="V48" s="23"/>
      <c r="W48" s="24"/>
      <c r="Z48" s="12"/>
    </row>
    <row r="49" spans="2:23" x14ac:dyDescent="0.4"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7"/>
      <c r="O49" s="25"/>
      <c r="P49" s="26"/>
      <c r="Q49" s="26"/>
      <c r="R49" s="26"/>
      <c r="S49" s="26"/>
      <c r="T49" s="26"/>
      <c r="U49" s="26"/>
      <c r="V49" s="26"/>
      <c r="W49" s="27"/>
    </row>
    <row r="50" spans="2:23" ht="18" thickBot="1" x14ac:dyDescent="0.45"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0"/>
      <c r="O50" s="28"/>
      <c r="P50" s="29"/>
      <c r="Q50" s="29"/>
      <c r="R50" s="29"/>
      <c r="S50" s="29"/>
      <c r="T50" s="29"/>
      <c r="U50" s="29"/>
      <c r="V50" s="29"/>
      <c r="W50" s="30"/>
    </row>
    <row r="51" spans="2:23" x14ac:dyDescent="0.4">
      <c r="B51" s="83">
        <v>10</v>
      </c>
      <c r="C51" s="84"/>
      <c r="D51" s="85"/>
      <c r="E51" s="83">
        <v>10</v>
      </c>
      <c r="F51" s="84"/>
      <c r="G51" s="85"/>
      <c r="H51" s="83">
        <v>1</v>
      </c>
      <c r="I51" s="84"/>
      <c r="J51" s="85"/>
      <c r="K51" s="49">
        <f>1.44/((B51+2*E51)*H51)*1000</f>
        <v>48</v>
      </c>
      <c r="L51" s="50"/>
      <c r="M51" s="51"/>
      <c r="O51" s="40">
        <v>47</v>
      </c>
      <c r="P51" s="41"/>
      <c r="Q51" s="42"/>
      <c r="R51" s="40">
        <v>10</v>
      </c>
      <c r="S51" s="41"/>
      <c r="T51" s="42"/>
      <c r="U51" s="31">
        <f>1.1*O51*R51/1000</f>
        <v>0.51700000000000002</v>
      </c>
      <c r="V51" s="32"/>
      <c r="W51" s="33"/>
    </row>
    <row r="52" spans="2:23" x14ac:dyDescent="0.4">
      <c r="B52" s="86"/>
      <c r="C52" s="87"/>
      <c r="D52" s="88"/>
      <c r="E52" s="86"/>
      <c r="F52" s="87"/>
      <c r="G52" s="88"/>
      <c r="H52" s="86"/>
      <c r="I52" s="87"/>
      <c r="J52" s="88"/>
      <c r="K52" s="52"/>
      <c r="L52" s="53"/>
      <c r="M52" s="54"/>
      <c r="O52" s="43"/>
      <c r="P52" s="44"/>
      <c r="Q52" s="45"/>
      <c r="R52" s="43"/>
      <c r="S52" s="44"/>
      <c r="T52" s="45"/>
      <c r="U52" s="34"/>
      <c r="V52" s="35"/>
      <c r="W52" s="36"/>
    </row>
    <row r="53" spans="2:23" ht="18" thickBot="1" x14ac:dyDescent="0.45">
      <c r="B53" s="89"/>
      <c r="C53" s="90"/>
      <c r="D53" s="91"/>
      <c r="E53" s="89"/>
      <c r="F53" s="90"/>
      <c r="G53" s="91"/>
      <c r="H53" s="89"/>
      <c r="I53" s="90"/>
      <c r="J53" s="91"/>
      <c r="K53" s="55"/>
      <c r="L53" s="56"/>
      <c r="M53" s="57"/>
      <c r="O53" s="46"/>
      <c r="P53" s="47"/>
      <c r="Q53" s="48"/>
      <c r="R53" s="46"/>
      <c r="S53" s="47"/>
      <c r="T53" s="48"/>
      <c r="U53" s="37"/>
      <c r="V53" s="38"/>
      <c r="W53" s="39"/>
    </row>
    <row r="54" spans="2:23" ht="21" x14ac:dyDescent="0.4">
      <c r="B54" s="16" t="s">
        <v>150</v>
      </c>
      <c r="C54" s="17"/>
      <c r="D54" s="18"/>
      <c r="E54" s="16" t="s">
        <v>151</v>
      </c>
      <c r="F54" s="17"/>
      <c r="G54" s="18"/>
      <c r="H54" s="16" t="s">
        <v>146</v>
      </c>
      <c r="I54" s="17"/>
      <c r="J54" s="18"/>
      <c r="K54" s="16" t="s">
        <v>149</v>
      </c>
      <c r="L54" s="17"/>
      <c r="M54" s="18"/>
      <c r="N54" s="13"/>
      <c r="O54" s="16" t="s">
        <v>150</v>
      </c>
      <c r="P54" s="17"/>
      <c r="Q54" s="18"/>
      <c r="R54" s="16" t="s">
        <v>146</v>
      </c>
      <c r="S54" s="17"/>
      <c r="T54" s="18"/>
      <c r="U54" s="16" t="s">
        <v>147</v>
      </c>
      <c r="V54" s="17"/>
      <c r="W54" s="18"/>
    </row>
    <row r="55" spans="2:23" ht="21.6" thickBot="1" x14ac:dyDescent="0.45">
      <c r="B55" s="19"/>
      <c r="C55" s="20"/>
      <c r="D55" s="21"/>
      <c r="E55" s="19"/>
      <c r="F55" s="20"/>
      <c r="G55" s="21"/>
      <c r="H55" s="19"/>
      <c r="I55" s="20"/>
      <c r="J55" s="21"/>
      <c r="K55" s="19"/>
      <c r="L55" s="20"/>
      <c r="M55" s="21"/>
      <c r="N55" s="13"/>
      <c r="O55" s="19"/>
      <c r="P55" s="20"/>
      <c r="Q55" s="21"/>
      <c r="R55" s="19"/>
      <c r="S55" s="20"/>
      <c r="T55" s="21"/>
      <c r="U55" s="19"/>
      <c r="V55" s="20"/>
      <c r="W55" s="21"/>
    </row>
  </sheetData>
  <mergeCells count="169">
    <mergeCell ref="B54:D55"/>
    <mergeCell ref="E54:G55"/>
    <mergeCell ref="H54:J55"/>
    <mergeCell ref="K54:M55"/>
    <mergeCell ref="F8:K10"/>
    <mergeCell ref="C8:E10"/>
    <mergeCell ref="B43:B44"/>
    <mergeCell ref="C43:E44"/>
    <mergeCell ref="F43:K44"/>
    <mergeCell ref="L43:M44"/>
    <mergeCell ref="N43:O44"/>
    <mergeCell ref="B48:M50"/>
    <mergeCell ref="B51:D53"/>
    <mergeCell ref="E51:G53"/>
    <mergeCell ref="H51:J53"/>
    <mergeCell ref="K51:M53"/>
    <mergeCell ref="B41:B42"/>
    <mergeCell ref="C41:E42"/>
    <mergeCell ref="F41:K42"/>
    <mergeCell ref="L41:M42"/>
    <mergeCell ref="N41:O42"/>
    <mergeCell ref="B33:B34"/>
    <mergeCell ref="B35:B36"/>
    <mergeCell ref="B37:B38"/>
    <mergeCell ref="B6:B7"/>
    <mergeCell ref="C11:E14"/>
    <mergeCell ref="B11:B14"/>
    <mergeCell ref="L11:M14"/>
    <mergeCell ref="N11:O14"/>
    <mergeCell ref="B21:B22"/>
    <mergeCell ref="B23:B24"/>
    <mergeCell ref="B25:B26"/>
    <mergeCell ref="B27:B28"/>
    <mergeCell ref="B29:B30"/>
    <mergeCell ref="B31:B32"/>
    <mergeCell ref="B8:B10"/>
    <mergeCell ref="B15:B16"/>
    <mergeCell ref="B17:B18"/>
    <mergeCell ref="B19:B20"/>
    <mergeCell ref="C35:E36"/>
    <mergeCell ref="C27:E28"/>
    <mergeCell ref="F27:K28"/>
    <mergeCell ref="L27:M28"/>
    <mergeCell ref="N27:O28"/>
    <mergeCell ref="C29:E30"/>
    <mergeCell ref="F29:K30"/>
    <mergeCell ref="L29:M30"/>
    <mergeCell ref="N29:O30"/>
    <mergeCell ref="B39:B40"/>
    <mergeCell ref="C39:E40"/>
    <mergeCell ref="F39:K40"/>
    <mergeCell ref="L39:M40"/>
    <mergeCell ref="N39:O40"/>
    <mergeCell ref="F35:K36"/>
    <mergeCell ref="L35:M36"/>
    <mergeCell ref="N35:O36"/>
    <mergeCell ref="C37:E38"/>
    <mergeCell ref="F37:K38"/>
    <mergeCell ref="L37:M38"/>
    <mergeCell ref="N37:O38"/>
    <mergeCell ref="C31:E32"/>
    <mergeCell ref="F31:K32"/>
    <mergeCell ref="L31:M32"/>
    <mergeCell ref="N31:O32"/>
    <mergeCell ref="C33:E34"/>
    <mergeCell ref="F33:K34"/>
    <mergeCell ref="L33:M34"/>
    <mergeCell ref="N33:O34"/>
    <mergeCell ref="C25:E26"/>
    <mergeCell ref="F25:K26"/>
    <mergeCell ref="L25:M26"/>
    <mergeCell ref="N25:O26"/>
    <mergeCell ref="C19:E20"/>
    <mergeCell ref="F19:K20"/>
    <mergeCell ref="L19:M20"/>
    <mergeCell ref="N19:O20"/>
    <mergeCell ref="C21:E22"/>
    <mergeCell ref="F21:K22"/>
    <mergeCell ref="L21:M22"/>
    <mergeCell ref="N21:O22"/>
    <mergeCell ref="R10:T11"/>
    <mergeCell ref="Q10:Q11"/>
    <mergeCell ref="AC8:AD9"/>
    <mergeCell ref="AA8:AB9"/>
    <mergeCell ref="U8:Z9"/>
    <mergeCell ref="R8:T9"/>
    <mergeCell ref="Q8:Q9"/>
    <mergeCell ref="L8:M10"/>
    <mergeCell ref="C23:E24"/>
    <mergeCell ref="F23:K24"/>
    <mergeCell ref="L23:M24"/>
    <mergeCell ref="N23:O24"/>
    <mergeCell ref="C15:E16"/>
    <mergeCell ref="F15:K16"/>
    <mergeCell ref="L15:M16"/>
    <mergeCell ref="N15:O16"/>
    <mergeCell ref="C17:E18"/>
    <mergeCell ref="F17:K18"/>
    <mergeCell ref="L17:M18"/>
    <mergeCell ref="N17:O18"/>
    <mergeCell ref="N8:O10"/>
    <mergeCell ref="F11:K12"/>
    <mergeCell ref="F13:K14"/>
    <mergeCell ref="C6:E7"/>
    <mergeCell ref="L6:M7"/>
    <mergeCell ref="F6:K7"/>
    <mergeCell ref="N6:O7"/>
    <mergeCell ref="B2:O5"/>
    <mergeCell ref="Q2:AD5"/>
    <mergeCell ref="Q6:Q7"/>
    <mergeCell ref="R6:T7"/>
    <mergeCell ref="U6:Z7"/>
    <mergeCell ref="AA6:AB7"/>
    <mergeCell ref="AC6:AD7"/>
    <mergeCell ref="Q12:Q13"/>
    <mergeCell ref="R12:T13"/>
    <mergeCell ref="AA12:AB13"/>
    <mergeCell ref="AC12:AD13"/>
    <mergeCell ref="U12:Z13"/>
    <mergeCell ref="Q14:Q15"/>
    <mergeCell ref="R14:T15"/>
    <mergeCell ref="AC10:AD11"/>
    <mergeCell ref="AA10:AB11"/>
    <mergeCell ref="U10:Z11"/>
    <mergeCell ref="U14:Z15"/>
    <mergeCell ref="U16:Z17"/>
    <mergeCell ref="U18:Z19"/>
    <mergeCell ref="AA14:AB15"/>
    <mergeCell ref="AA16:AB17"/>
    <mergeCell ref="AA18:AB19"/>
    <mergeCell ref="AC14:AD15"/>
    <mergeCell ref="AC16:AD17"/>
    <mergeCell ref="AC18:AD19"/>
    <mergeCell ref="O48:W50"/>
    <mergeCell ref="O51:Q53"/>
    <mergeCell ref="R51:T53"/>
    <mergeCell ref="U51:W53"/>
    <mergeCell ref="O54:Q55"/>
    <mergeCell ref="U54:W55"/>
    <mergeCell ref="AA20:AB21"/>
    <mergeCell ref="AA22:AB23"/>
    <mergeCell ref="AA24:AB25"/>
    <mergeCell ref="AA26:AB27"/>
    <mergeCell ref="AA28:AB29"/>
    <mergeCell ref="U20:Z21"/>
    <mergeCell ref="U22:Z23"/>
    <mergeCell ref="U24:Z25"/>
    <mergeCell ref="U26:Z27"/>
    <mergeCell ref="U28:Z29"/>
    <mergeCell ref="R20:T21"/>
    <mergeCell ref="R22:T23"/>
    <mergeCell ref="R24:T25"/>
    <mergeCell ref="R26:T27"/>
    <mergeCell ref="R28:T29"/>
    <mergeCell ref="R54:T55"/>
    <mergeCell ref="Q16:Q17"/>
    <mergeCell ref="Q18:Q19"/>
    <mergeCell ref="Q20:Q21"/>
    <mergeCell ref="Q22:Q23"/>
    <mergeCell ref="Q24:Q25"/>
    <mergeCell ref="Q26:Q27"/>
    <mergeCell ref="Q28:Q29"/>
    <mergeCell ref="AC20:AD21"/>
    <mergeCell ref="AC22:AD23"/>
    <mergeCell ref="AC24:AD25"/>
    <mergeCell ref="AC26:AD27"/>
    <mergeCell ref="AC28:AD29"/>
    <mergeCell ref="R16:T17"/>
    <mergeCell ref="R18:T19"/>
  </mergeCells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R260"/>
  <sheetViews>
    <sheetView zoomScale="70" zoomScaleNormal="70" zoomScaleSheetLayoutView="75" workbookViewId="0">
      <selection activeCell="C28" sqref="C28:E29"/>
    </sheetView>
  </sheetViews>
  <sheetFormatPr defaultColWidth="8.796875" defaultRowHeight="17.399999999999999" x14ac:dyDescent="0.4"/>
  <cols>
    <col min="2" max="2" width="8.796875" bestFit="1" customWidth="1"/>
  </cols>
  <sheetData>
    <row r="1" spans="2:18" ht="17.399999999999999" customHeight="1" thickBot="1" x14ac:dyDescent="0.45"/>
    <row r="2" spans="2:18" ht="17.399999999999999" customHeight="1" x14ac:dyDescent="0.4">
      <c r="B2" s="135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/>
    </row>
    <row r="3" spans="2:18" ht="17.399999999999999" customHeight="1" x14ac:dyDescent="0.4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40"/>
    </row>
    <row r="4" spans="2:18" ht="18" customHeight="1" x14ac:dyDescent="0.4"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40"/>
    </row>
    <row r="5" spans="2:18" ht="17.399999999999999" customHeight="1" thickBot="1" x14ac:dyDescent="0.45">
      <c r="B5" s="141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3"/>
    </row>
    <row r="6" spans="2:18" ht="18" customHeight="1" x14ac:dyDescent="0.4">
      <c r="B6" s="128" t="s">
        <v>9</v>
      </c>
      <c r="C6" s="67" t="s">
        <v>8</v>
      </c>
      <c r="D6" s="68"/>
      <c r="E6" s="69"/>
      <c r="F6" s="67" t="s">
        <v>7</v>
      </c>
      <c r="G6" s="68"/>
      <c r="H6" s="68"/>
      <c r="I6" s="68"/>
      <c r="J6" s="68"/>
      <c r="K6" s="69"/>
      <c r="L6" s="67" t="s">
        <v>24</v>
      </c>
      <c r="M6" s="69"/>
      <c r="N6" s="67" t="s">
        <v>25</v>
      </c>
      <c r="O6" s="69"/>
      <c r="R6" s="1" t="s">
        <v>91</v>
      </c>
    </row>
    <row r="7" spans="2:18" ht="18" customHeight="1" thickBot="1" x14ac:dyDescent="0.45">
      <c r="B7" s="129"/>
      <c r="C7" s="70"/>
      <c r="D7" s="71"/>
      <c r="E7" s="72"/>
      <c r="F7" s="70"/>
      <c r="G7" s="71"/>
      <c r="H7" s="71"/>
      <c r="I7" s="71"/>
      <c r="J7" s="71"/>
      <c r="K7" s="72"/>
      <c r="L7" s="70"/>
      <c r="M7" s="72"/>
      <c r="N7" s="70"/>
      <c r="O7" s="72"/>
    </row>
    <row r="8" spans="2:18" ht="17.399999999999999" customHeight="1" x14ac:dyDescent="0.4">
      <c r="B8" s="130">
        <v>1</v>
      </c>
      <c r="C8" s="101" t="s">
        <v>121</v>
      </c>
      <c r="D8" s="59"/>
      <c r="E8" s="102"/>
      <c r="F8" s="101" t="s">
        <v>84</v>
      </c>
      <c r="G8" s="144"/>
      <c r="H8" s="144"/>
      <c r="I8" s="144"/>
      <c r="J8" s="144"/>
      <c r="K8" s="145"/>
      <c r="L8" s="116">
        <v>5</v>
      </c>
      <c r="M8" s="102"/>
      <c r="N8" s="116">
        <f>Total!H53</f>
        <v>9</v>
      </c>
      <c r="O8" s="102"/>
    </row>
    <row r="9" spans="2:18" ht="18" customHeight="1" x14ac:dyDescent="0.4">
      <c r="B9" s="103"/>
      <c r="C9" s="79"/>
      <c r="D9" s="80"/>
      <c r="E9" s="81"/>
      <c r="F9" s="112"/>
      <c r="G9" s="115"/>
      <c r="H9" s="115"/>
      <c r="I9" s="115"/>
      <c r="J9" s="115"/>
      <c r="K9" s="113"/>
      <c r="L9" s="79"/>
      <c r="M9" s="81"/>
      <c r="N9" s="79"/>
      <c r="O9" s="81"/>
    </row>
    <row r="10" spans="2:18" x14ac:dyDescent="0.4">
      <c r="B10" s="110">
        <v>2</v>
      </c>
      <c r="C10" s="76" t="s">
        <v>59</v>
      </c>
      <c r="D10" s="77"/>
      <c r="E10" s="78"/>
      <c r="F10" s="76" t="s">
        <v>85</v>
      </c>
      <c r="G10" s="114"/>
      <c r="H10" s="114"/>
      <c r="I10" s="114"/>
      <c r="J10" s="114"/>
      <c r="K10" s="111"/>
      <c r="L10" s="97">
        <v>1</v>
      </c>
      <c r="M10" s="78"/>
      <c r="N10" s="97">
        <f>Total!H55</f>
        <v>6</v>
      </c>
      <c r="O10" s="78"/>
    </row>
    <row r="11" spans="2:18" x14ac:dyDescent="0.4">
      <c r="B11" s="103"/>
      <c r="C11" s="79"/>
      <c r="D11" s="80"/>
      <c r="E11" s="81"/>
      <c r="F11" s="112"/>
      <c r="G11" s="115"/>
      <c r="H11" s="115"/>
      <c r="I11" s="115"/>
      <c r="J11" s="115"/>
      <c r="K11" s="113"/>
      <c r="L11" s="79"/>
      <c r="M11" s="81"/>
      <c r="N11" s="79"/>
      <c r="O11" s="81"/>
    </row>
    <row r="12" spans="2:18" x14ac:dyDescent="0.4">
      <c r="B12" s="110">
        <v>3</v>
      </c>
      <c r="C12" s="76" t="s">
        <v>40</v>
      </c>
      <c r="D12" s="114"/>
      <c r="E12" s="111"/>
      <c r="F12" s="76" t="s">
        <v>86</v>
      </c>
      <c r="G12" s="114"/>
      <c r="H12" s="114"/>
      <c r="I12" s="114"/>
      <c r="J12" s="114"/>
      <c r="K12" s="111"/>
      <c r="L12" s="97">
        <v>2</v>
      </c>
      <c r="M12" s="78"/>
      <c r="N12" s="97">
        <f>Total!H57</f>
        <v>9</v>
      </c>
      <c r="O12" s="78"/>
    </row>
    <row r="13" spans="2:18" x14ac:dyDescent="0.4">
      <c r="B13" s="103"/>
      <c r="C13" s="112"/>
      <c r="D13" s="115"/>
      <c r="E13" s="113"/>
      <c r="F13" s="112"/>
      <c r="G13" s="115"/>
      <c r="H13" s="115"/>
      <c r="I13" s="115"/>
      <c r="J13" s="115"/>
      <c r="K13" s="113"/>
      <c r="L13" s="79"/>
      <c r="M13" s="81"/>
      <c r="N13" s="79"/>
      <c r="O13" s="81"/>
    </row>
    <row r="14" spans="2:18" x14ac:dyDescent="0.4">
      <c r="B14" s="110">
        <v>4</v>
      </c>
      <c r="C14" s="76" t="s">
        <v>41</v>
      </c>
      <c r="D14" s="114"/>
      <c r="E14" s="111"/>
      <c r="F14" s="76" t="s">
        <v>56</v>
      </c>
      <c r="G14" s="114"/>
      <c r="H14" s="114"/>
      <c r="I14" s="114"/>
      <c r="J14" s="114"/>
      <c r="K14" s="111"/>
      <c r="L14" s="97">
        <v>8</v>
      </c>
      <c r="M14" s="78"/>
      <c r="N14" s="76">
        <f>Total!H43</f>
        <v>100</v>
      </c>
      <c r="O14" s="111"/>
    </row>
    <row r="15" spans="2:18" x14ac:dyDescent="0.4">
      <c r="B15" s="103"/>
      <c r="C15" s="112"/>
      <c r="D15" s="115"/>
      <c r="E15" s="113"/>
      <c r="F15" s="112"/>
      <c r="G15" s="115"/>
      <c r="H15" s="115"/>
      <c r="I15" s="115"/>
      <c r="J15" s="115"/>
      <c r="K15" s="113"/>
      <c r="L15" s="79"/>
      <c r="M15" s="81"/>
      <c r="N15" s="112"/>
      <c r="O15" s="113"/>
    </row>
    <row r="16" spans="2:18" x14ac:dyDescent="0.4">
      <c r="B16" s="110">
        <v>5</v>
      </c>
      <c r="C16" s="76" t="s">
        <v>42</v>
      </c>
      <c r="D16" s="114"/>
      <c r="E16" s="111"/>
      <c r="F16" s="76" t="s">
        <v>50</v>
      </c>
      <c r="G16" s="114"/>
      <c r="H16" s="114"/>
      <c r="I16" s="114"/>
      <c r="J16" s="114"/>
      <c r="K16" s="111"/>
      <c r="L16" s="97">
        <v>14</v>
      </c>
      <c r="M16" s="78"/>
      <c r="N16" s="76">
        <f>Total!H27</f>
        <v>50</v>
      </c>
      <c r="O16" s="111"/>
    </row>
    <row r="17" spans="2:15" x14ac:dyDescent="0.4">
      <c r="B17" s="103"/>
      <c r="C17" s="112"/>
      <c r="D17" s="115"/>
      <c r="E17" s="113"/>
      <c r="F17" s="112"/>
      <c r="G17" s="115"/>
      <c r="H17" s="115"/>
      <c r="I17" s="115"/>
      <c r="J17" s="115"/>
      <c r="K17" s="113"/>
      <c r="L17" s="79"/>
      <c r="M17" s="81"/>
      <c r="N17" s="112"/>
      <c r="O17" s="113"/>
    </row>
    <row r="18" spans="2:15" x14ac:dyDescent="0.4">
      <c r="B18" s="110">
        <v>6</v>
      </c>
      <c r="C18" s="76" t="s">
        <v>87</v>
      </c>
      <c r="D18" s="114"/>
      <c r="E18" s="111"/>
      <c r="F18" s="76" t="s">
        <v>53</v>
      </c>
      <c r="G18" s="114"/>
      <c r="H18" s="114"/>
      <c r="I18" s="114"/>
      <c r="J18" s="114"/>
      <c r="K18" s="111"/>
      <c r="L18" s="97">
        <v>4</v>
      </c>
      <c r="M18" s="78"/>
      <c r="N18" s="97">
        <f>Total!H23</f>
        <v>40</v>
      </c>
      <c r="O18" s="78"/>
    </row>
    <row r="19" spans="2:15" x14ac:dyDescent="0.4">
      <c r="B19" s="103"/>
      <c r="C19" s="112"/>
      <c r="D19" s="115"/>
      <c r="E19" s="113"/>
      <c r="F19" s="112"/>
      <c r="G19" s="115"/>
      <c r="H19" s="115"/>
      <c r="I19" s="115"/>
      <c r="J19" s="115"/>
      <c r="K19" s="113"/>
      <c r="L19" s="79"/>
      <c r="M19" s="81"/>
      <c r="N19" s="79"/>
      <c r="O19" s="81"/>
    </row>
    <row r="20" spans="2:15" x14ac:dyDescent="0.4">
      <c r="B20" s="110">
        <v>7</v>
      </c>
      <c r="C20" s="76" t="s">
        <v>88</v>
      </c>
      <c r="D20" s="114"/>
      <c r="E20" s="111"/>
      <c r="F20" s="76" t="s">
        <v>54</v>
      </c>
      <c r="G20" s="114"/>
      <c r="H20" s="114"/>
      <c r="I20" s="114"/>
      <c r="J20" s="114"/>
      <c r="K20" s="111"/>
      <c r="L20" s="97">
        <v>3</v>
      </c>
      <c r="M20" s="78"/>
      <c r="N20" s="97">
        <f>Total!H47</f>
        <v>36</v>
      </c>
      <c r="O20" s="78"/>
    </row>
    <row r="21" spans="2:15" x14ac:dyDescent="0.4">
      <c r="B21" s="103"/>
      <c r="C21" s="112"/>
      <c r="D21" s="115"/>
      <c r="E21" s="113"/>
      <c r="F21" s="112"/>
      <c r="G21" s="115"/>
      <c r="H21" s="115"/>
      <c r="I21" s="115"/>
      <c r="J21" s="115"/>
      <c r="K21" s="113"/>
      <c r="L21" s="79"/>
      <c r="M21" s="81"/>
      <c r="N21" s="79"/>
      <c r="O21" s="81"/>
    </row>
    <row r="22" spans="2:15" x14ac:dyDescent="0.4">
      <c r="B22" s="110">
        <v>8</v>
      </c>
      <c r="C22" s="76" t="s">
        <v>43</v>
      </c>
      <c r="D22" s="114"/>
      <c r="E22" s="111"/>
      <c r="F22" s="76" t="s">
        <v>58</v>
      </c>
      <c r="G22" s="114"/>
      <c r="H22" s="114"/>
      <c r="I22" s="114"/>
      <c r="J22" s="114"/>
      <c r="K22" s="111"/>
      <c r="L22" s="97">
        <v>6</v>
      </c>
      <c r="M22" s="78"/>
      <c r="N22" s="76">
        <f>Total!H49</f>
        <v>50</v>
      </c>
      <c r="O22" s="111"/>
    </row>
    <row r="23" spans="2:15" x14ac:dyDescent="0.4">
      <c r="B23" s="103"/>
      <c r="C23" s="112"/>
      <c r="D23" s="115"/>
      <c r="E23" s="113"/>
      <c r="F23" s="112"/>
      <c r="G23" s="115"/>
      <c r="H23" s="115"/>
      <c r="I23" s="115"/>
      <c r="J23" s="115"/>
      <c r="K23" s="113"/>
      <c r="L23" s="79"/>
      <c r="M23" s="81"/>
      <c r="N23" s="112"/>
      <c r="O23" s="113"/>
    </row>
    <row r="24" spans="2:15" x14ac:dyDescent="0.4">
      <c r="B24" s="110">
        <v>9</v>
      </c>
      <c r="C24" s="76" t="s">
        <v>89</v>
      </c>
      <c r="D24" s="114"/>
      <c r="E24" s="111"/>
      <c r="F24" s="76" t="s">
        <v>55</v>
      </c>
      <c r="G24" s="114"/>
      <c r="H24" s="114"/>
      <c r="I24" s="114"/>
      <c r="J24" s="114"/>
      <c r="K24" s="111"/>
      <c r="L24" s="97">
        <v>1</v>
      </c>
      <c r="M24" s="78"/>
      <c r="N24" s="97">
        <f>Total!H59</f>
        <v>3</v>
      </c>
      <c r="O24" s="78"/>
    </row>
    <row r="25" spans="2:15" x14ac:dyDescent="0.4">
      <c r="B25" s="103"/>
      <c r="C25" s="112"/>
      <c r="D25" s="115"/>
      <c r="E25" s="113"/>
      <c r="F25" s="112"/>
      <c r="G25" s="115"/>
      <c r="H25" s="115"/>
      <c r="I25" s="115"/>
      <c r="J25" s="115"/>
      <c r="K25" s="113"/>
      <c r="L25" s="79"/>
      <c r="M25" s="81"/>
      <c r="N25" s="79"/>
      <c r="O25" s="81"/>
    </row>
    <row r="26" spans="2:15" x14ac:dyDescent="0.4">
      <c r="B26" s="110">
        <v>10</v>
      </c>
      <c r="C26" s="76" t="s">
        <v>61</v>
      </c>
      <c r="D26" s="114"/>
      <c r="E26" s="111"/>
      <c r="F26" s="76" t="s">
        <v>49</v>
      </c>
      <c r="G26" s="114"/>
      <c r="H26" s="114"/>
      <c r="I26" s="114"/>
      <c r="J26" s="114"/>
      <c r="K26" s="111"/>
      <c r="L26" s="97">
        <v>3</v>
      </c>
      <c r="M26" s="78"/>
      <c r="N26" s="97">
        <f>Total!H29</f>
        <v>36</v>
      </c>
      <c r="O26" s="78"/>
    </row>
    <row r="27" spans="2:15" x14ac:dyDescent="0.4">
      <c r="B27" s="103"/>
      <c r="C27" s="112"/>
      <c r="D27" s="115"/>
      <c r="E27" s="113"/>
      <c r="F27" s="112"/>
      <c r="G27" s="115"/>
      <c r="H27" s="115"/>
      <c r="I27" s="115"/>
      <c r="J27" s="115"/>
      <c r="K27" s="113"/>
      <c r="L27" s="79"/>
      <c r="M27" s="81"/>
      <c r="N27" s="79"/>
      <c r="O27" s="81"/>
    </row>
    <row r="28" spans="2:15" x14ac:dyDescent="0.4">
      <c r="B28" s="110">
        <v>11</v>
      </c>
      <c r="C28" s="76" t="s">
        <v>92</v>
      </c>
      <c r="D28" s="114"/>
      <c r="E28" s="111"/>
      <c r="F28" s="76" t="s">
        <v>48</v>
      </c>
      <c r="G28" s="114"/>
      <c r="H28" s="114"/>
      <c r="I28" s="114"/>
      <c r="J28" s="114"/>
      <c r="K28" s="111"/>
      <c r="L28" s="97">
        <v>1</v>
      </c>
      <c r="M28" s="78"/>
      <c r="N28" s="76">
        <f>Total!H45</f>
        <v>12</v>
      </c>
      <c r="O28" s="111"/>
    </row>
    <row r="29" spans="2:15" x14ac:dyDescent="0.4">
      <c r="B29" s="103"/>
      <c r="C29" s="112"/>
      <c r="D29" s="115"/>
      <c r="E29" s="113"/>
      <c r="F29" s="112"/>
      <c r="G29" s="115"/>
      <c r="H29" s="115"/>
      <c r="I29" s="115"/>
      <c r="J29" s="115"/>
      <c r="K29" s="113"/>
      <c r="L29" s="79"/>
      <c r="M29" s="81"/>
      <c r="N29" s="112"/>
      <c r="O29" s="113"/>
    </row>
    <row r="30" spans="2:15" x14ac:dyDescent="0.4">
      <c r="B30" s="110">
        <v>12</v>
      </c>
      <c r="C30" s="76" t="s">
        <v>62</v>
      </c>
      <c r="D30" s="114"/>
      <c r="E30" s="111"/>
      <c r="F30" s="76" t="s">
        <v>51</v>
      </c>
      <c r="G30" s="114"/>
      <c r="H30" s="114"/>
      <c r="I30" s="114"/>
      <c r="J30" s="114"/>
      <c r="K30" s="111"/>
      <c r="L30" s="97">
        <v>5</v>
      </c>
      <c r="M30" s="78"/>
      <c r="N30" s="97">
        <f>Total!H25</f>
        <v>24</v>
      </c>
      <c r="O30" s="78"/>
    </row>
    <row r="31" spans="2:15" x14ac:dyDescent="0.4">
      <c r="B31" s="103"/>
      <c r="C31" s="112"/>
      <c r="D31" s="115"/>
      <c r="E31" s="113"/>
      <c r="F31" s="112"/>
      <c r="G31" s="115"/>
      <c r="H31" s="115"/>
      <c r="I31" s="115"/>
      <c r="J31" s="115"/>
      <c r="K31" s="113"/>
      <c r="L31" s="79"/>
      <c r="M31" s="81"/>
      <c r="N31" s="79"/>
      <c r="O31" s="81"/>
    </row>
    <row r="32" spans="2:15" x14ac:dyDescent="0.4">
      <c r="B32" s="110">
        <v>13</v>
      </c>
      <c r="C32" s="76" t="s">
        <v>93</v>
      </c>
      <c r="D32" s="114"/>
      <c r="E32" s="111"/>
      <c r="F32" s="76" t="s">
        <v>52</v>
      </c>
      <c r="G32" s="114"/>
      <c r="H32" s="114"/>
      <c r="I32" s="114"/>
      <c r="J32" s="114"/>
      <c r="K32" s="111"/>
      <c r="L32" s="97">
        <v>4</v>
      </c>
      <c r="M32" s="78"/>
      <c r="N32" s="76">
        <f>Total!H61</f>
        <v>30</v>
      </c>
      <c r="O32" s="111"/>
    </row>
    <row r="33" spans="2:15" x14ac:dyDescent="0.4">
      <c r="B33" s="103"/>
      <c r="C33" s="112"/>
      <c r="D33" s="115"/>
      <c r="E33" s="113"/>
      <c r="F33" s="112"/>
      <c r="G33" s="115"/>
      <c r="H33" s="115"/>
      <c r="I33" s="115"/>
      <c r="J33" s="115"/>
      <c r="K33" s="113"/>
      <c r="L33" s="79"/>
      <c r="M33" s="81"/>
      <c r="N33" s="112"/>
      <c r="O33" s="113"/>
    </row>
    <row r="34" spans="2:15" x14ac:dyDescent="0.4">
      <c r="B34" s="110">
        <v>14</v>
      </c>
      <c r="C34" s="76" t="s">
        <v>44</v>
      </c>
      <c r="D34" s="114"/>
      <c r="E34" s="111"/>
      <c r="F34" s="76" t="s">
        <v>57</v>
      </c>
      <c r="G34" s="114"/>
      <c r="H34" s="114"/>
      <c r="I34" s="114"/>
      <c r="J34" s="114"/>
      <c r="K34" s="111"/>
      <c r="L34" s="97">
        <v>1</v>
      </c>
      <c r="M34" s="78"/>
      <c r="N34" s="97">
        <f>Total!H63</f>
        <v>20</v>
      </c>
      <c r="O34" s="78"/>
    </row>
    <row r="35" spans="2:15" x14ac:dyDescent="0.4">
      <c r="B35" s="103"/>
      <c r="C35" s="112"/>
      <c r="D35" s="115"/>
      <c r="E35" s="113"/>
      <c r="F35" s="112"/>
      <c r="G35" s="115"/>
      <c r="H35" s="115"/>
      <c r="I35" s="115"/>
      <c r="J35" s="115"/>
      <c r="K35" s="113"/>
      <c r="L35" s="79"/>
      <c r="M35" s="81"/>
      <c r="N35" s="79"/>
      <c r="O35" s="81"/>
    </row>
    <row r="36" spans="2:15" x14ac:dyDescent="0.4">
      <c r="B36" s="110">
        <v>15</v>
      </c>
      <c r="C36" s="76" t="s">
        <v>46</v>
      </c>
      <c r="D36" s="114"/>
      <c r="E36" s="111"/>
      <c r="F36" s="76" t="s">
        <v>57</v>
      </c>
      <c r="G36" s="114"/>
      <c r="H36" s="114"/>
      <c r="I36" s="114"/>
      <c r="J36" s="114"/>
      <c r="K36" s="111"/>
      <c r="L36" s="97">
        <v>1</v>
      </c>
      <c r="M36" s="78"/>
      <c r="N36" s="76">
        <f>Total!H65</f>
        <v>50</v>
      </c>
      <c r="O36" s="111"/>
    </row>
    <row r="37" spans="2:15" x14ac:dyDescent="0.4">
      <c r="B37" s="103"/>
      <c r="C37" s="112"/>
      <c r="D37" s="115"/>
      <c r="E37" s="113"/>
      <c r="F37" s="112"/>
      <c r="G37" s="115"/>
      <c r="H37" s="115"/>
      <c r="I37" s="115"/>
      <c r="J37" s="115"/>
      <c r="K37" s="113"/>
      <c r="L37" s="79"/>
      <c r="M37" s="81"/>
      <c r="N37" s="112"/>
      <c r="O37" s="113"/>
    </row>
    <row r="38" spans="2:15" x14ac:dyDescent="0.4">
      <c r="B38" s="110">
        <v>16</v>
      </c>
      <c r="C38" s="76" t="s">
        <v>45</v>
      </c>
      <c r="D38" s="114"/>
      <c r="E38" s="111"/>
      <c r="F38" s="76" t="s">
        <v>57</v>
      </c>
      <c r="G38" s="114"/>
      <c r="H38" s="114"/>
      <c r="I38" s="114"/>
      <c r="J38" s="114"/>
      <c r="K38" s="111"/>
      <c r="L38" s="97">
        <v>1</v>
      </c>
      <c r="M38" s="78"/>
      <c r="N38" s="76">
        <f>Total!H67</f>
        <v>50</v>
      </c>
      <c r="O38" s="111"/>
    </row>
    <row r="39" spans="2:15" x14ac:dyDescent="0.4">
      <c r="B39" s="103"/>
      <c r="C39" s="112"/>
      <c r="D39" s="115"/>
      <c r="E39" s="113"/>
      <c r="F39" s="112"/>
      <c r="G39" s="115"/>
      <c r="H39" s="115"/>
      <c r="I39" s="115"/>
      <c r="J39" s="115"/>
      <c r="K39" s="113"/>
      <c r="L39" s="79"/>
      <c r="M39" s="81"/>
      <c r="N39" s="112"/>
      <c r="O39" s="113"/>
    </row>
    <row r="40" spans="2:15" x14ac:dyDescent="0.4">
      <c r="B40" s="110">
        <v>17</v>
      </c>
      <c r="C40" s="76" t="s">
        <v>47</v>
      </c>
      <c r="D40" s="114"/>
      <c r="E40" s="111"/>
      <c r="F40" s="76" t="s">
        <v>58</v>
      </c>
      <c r="G40" s="114"/>
      <c r="H40" s="114"/>
      <c r="I40" s="114"/>
      <c r="J40" s="114"/>
      <c r="K40" s="111"/>
      <c r="L40" s="97">
        <v>1</v>
      </c>
      <c r="M40" s="78"/>
      <c r="N40" s="76">
        <f>Total!H69</f>
        <v>50</v>
      </c>
      <c r="O40" s="111"/>
    </row>
    <row r="41" spans="2:15" x14ac:dyDescent="0.4">
      <c r="B41" s="103"/>
      <c r="C41" s="112"/>
      <c r="D41" s="115"/>
      <c r="E41" s="113"/>
      <c r="F41" s="112"/>
      <c r="G41" s="115"/>
      <c r="H41" s="115"/>
      <c r="I41" s="115"/>
      <c r="J41" s="115"/>
      <c r="K41" s="113"/>
      <c r="L41" s="79"/>
      <c r="M41" s="81"/>
      <c r="N41" s="112"/>
      <c r="O41" s="113"/>
    </row>
    <row r="87" spans="2:15" x14ac:dyDescent="0.4"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</row>
    <row r="88" spans="2:15" x14ac:dyDescent="0.4"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</row>
    <row r="89" spans="2:15" x14ac:dyDescent="0.4"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</row>
    <row r="90" spans="2:15" x14ac:dyDescent="0.4"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</row>
    <row r="91" spans="2:15" x14ac:dyDescent="0.4"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</row>
    <row r="92" spans="2:15" x14ac:dyDescent="0.4"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</row>
    <row r="93" spans="2:15" x14ac:dyDescent="0.4"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</row>
    <row r="94" spans="2:15" x14ac:dyDescent="0.4"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</row>
    <row r="95" spans="2:15" x14ac:dyDescent="0.4"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</row>
    <row r="96" spans="2:15" x14ac:dyDescent="0.4"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</row>
    <row r="97" spans="2:15" x14ac:dyDescent="0.4"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</row>
    <row r="98" spans="2:15" x14ac:dyDescent="0.4"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</row>
    <row r="99" spans="2:15" x14ac:dyDescent="0.4"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</row>
    <row r="100" spans="2:15" x14ac:dyDescent="0.4"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</row>
    <row r="101" spans="2:15" x14ac:dyDescent="0.4"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</row>
    <row r="102" spans="2:15" x14ac:dyDescent="0.4"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</row>
    <row r="103" spans="2:15" x14ac:dyDescent="0.4"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</row>
    <row r="104" spans="2:15" x14ac:dyDescent="0.4"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</row>
    <row r="105" spans="2:15" x14ac:dyDescent="0.4"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</row>
    <row r="106" spans="2:15" x14ac:dyDescent="0.4"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</row>
    <row r="107" spans="2:15" x14ac:dyDescent="0.4"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</row>
    <row r="108" spans="2:15" x14ac:dyDescent="0.4"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</row>
    <row r="109" spans="2:15" x14ac:dyDescent="0.4"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</row>
    <row r="110" spans="2:15" x14ac:dyDescent="0.4"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</row>
    <row r="111" spans="2:15" x14ac:dyDescent="0.4"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</row>
    <row r="112" spans="2:15" x14ac:dyDescent="0.4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</row>
    <row r="113" spans="2:15" x14ac:dyDescent="0.4"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</row>
    <row r="114" spans="2:15" x14ac:dyDescent="0.4"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</row>
    <row r="115" spans="2:15" x14ac:dyDescent="0.4"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</row>
    <row r="116" spans="2:15" x14ac:dyDescent="0.4"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</row>
    <row r="117" spans="2:15" x14ac:dyDescent="0.4"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</row>
    <row r="118" spans="2:15" x14ac:dyDescent="0.4"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</row>
    <row r="119" spans="2:15" x14ac:dyDescent="0.4"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</row>
    <row r="120" spans="2:15" x14ac:dyDescent="0.4"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</row>
    <row r="121" spans="2:15" x14ac:dyDescent="0.4"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</row>
    <row r="122" spans="2:15" x14ac:dyDescent="0.4"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</row>
    <row r="123" spans="2:15" x14ac:dyDescent="0.4"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</row>
    <row r="124" spans="2:15" x14ac:dyDescent="0.4"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</row>
    <row r="125" spans="2:15" x14ac:dyDescent="0.4"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</row>
    <row r="126" spans="2:15" x14ac:dyDescent="0.4"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</row>
    <row r="127" spans="2:15" x14ac:dyDescent="0.4"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</row>
    <row r="128" spans="2:15" x14ac:dyDescent="0.4"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</row>
    <row r="129" spans="2:15" x14ac:dyDescent="0.4"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</row>
    <row r="130" spans="2:15" x14ac:dyDescent="0.4"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</row>
    <row r="131" spans="2:15" x14ac:dyDescent="0.4"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</row>
    <row r="132" spans="2:15" x14ac:dyDescent="0.4"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</row>
    <row r="133" spans="2:15" x14ac:dyDescent="0.4"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</row>
    <row r="134" spans="2:15" x14ac:dyDescent="0.4"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</row>
    <row r="135" spans="2:15" x14ac:dyDescent="0.4"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</row>
    <row r="136" spans="2:15" x14ac:dyDescent="0.4"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</row>
    <row r="137" spans="2:15" x14ac:dyDescent="0.4"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</row>
    <row r="138" spans="2:15" x14ac:dyDescent="0.4"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</row>
    <row r="139" spans="2:15" x14ac:dyDescent="0.4"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</row>
    <row r="140" spans="2:15" x14ac:dyDescent="0.4"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</row>
    <row r="141" spans="2:15" x14ac:dyDescent="0.4"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</row>
    <row r="142" spans="2:15" x14ac:dyDescent="0.4"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</row>
    <row r="143" spans="2:15" x14ac:dyDescent="0.4"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</row>
    <row r="144" spans="2:15" x14ac:dyDescent="0.4"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</row>
    <row r="145" spans="2:15" x14ac:dyDescent="0.4"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</row>
    <row r="146" spans="2:15" x14ac:dyDescent="0.4"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</row>
    <row r="147" spans="2:15" x14ac:dyDescent="0.4"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</row>
    <row r="148" spans="2:15" x14ac:dyDescent="0.4"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</row>
    <row r="149" spans="2:15" x14ac:dyDescent="0.4"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</row>
    <row r="150" spans="2:15" x14ac:dyDescent="0.4"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</row>
    <row r="151" spans="2:15" x14ac:dyDescent="0.4"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</row>
    <row r="152" spans="2:15" x14ac:dyDescent="0.4"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</row>
    <row r="153" spans="2:15" x14ac:dyDescent="0.4"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</row>
    <row r="154" spans="2:15" x14ac:dyDescent="0.4"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</row>
    <row r="155" spans="2:15" x14ac:dyDescent="0.4"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</row>
    <row r="156" spans="2:15" x14ac:dyDescent="0.4"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</row>
    <row r="157" spans="2:15" x14ac:dyDescent="0.4"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</row>
    <row r="158" spans="2:15" x14ac:dyDescent="0.4"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</row>
    <row r="159" spans="2:15" x14ac:dyDescent="0.4"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</row>
    <row r="160" spans="2:15" x14ac:dyDescent="0.4"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</row>
    <row r="161" spans="2:15" x14ac:dyDescent="0.4"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</row>
    <row r="162" spans="2:15" x14ac:dyDescent="0.4"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</row>
    <row r="163" spans="2:15" x14ac:dyDescent="0.4"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</row>
    <row r="164" spans="2:15" x14ac:dyDescent="0.4"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</row>
    <row r="165" spans="2:15" x14ac:dyDescent="0.4"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</row>
    <row r="166" spans="2:15" x14ac:dyDescent="0.4"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</row>
    <row r="167" spans="2:15" x14ac:dyDescent="0.4"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</row>
    <row r="168" spans="2:15" x14ac:dyDescent="0.4"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</row>
    <row r="169" spans="2:15" x14ac:dyDescent="0.4">
      <c r="B169" s="133"/>
      <c r="C169" s="133"/>
      <c r="D169" s="133"/>
      <c r="E169" s="133"/>
      <c r="L169" s="133"/>
      <c r="M169" s="133"/>
      <c r="N169" s="133"/>
      <c r="O169" s="133"/>
    </row>
    <row r="170" spans="2:15" x14ac:dyDescent="0.4">
      <c r="B170" s="133"/>
      <c r="C170" s="133"/>
      <c r="D170" s="133"/>
      <c r="E170" s="133"/>
      <c r="L170" s="133"/>
      <c r="M170" s="133"/>
      <c r="N170" s="133"/>
      <c r="O170" s="133"/>
    </row>
    <row r="171" spans="2:15" x14ac:dyDescent="0.4">
      <c r="B171" s="133"/>
      <c r="C171" s="133"/>
      <c r="D171" s="133"/>
      <c r="E171" s="133"/>
      <c r="L171" s="133"/>
      <c r="M171" s="133"/>
      <c r="N171" s="133"/>
      <c r="O171" s="133"/>
    </row>
    <row r="172" spans="2:15" x14ac:dyDescent="0.4">
      <c r="B172" s="133"/>
      <c r="C172" s="133"/>
      <c r="D172" s="133"/>
      <c r="E172" s="133"/>
      <c r="L172" s="133"/>
      <c r="M172" s="133"/>
      <c r="N172" s="133"/>
      <c r="O172" s="133"/>
    </row>
    <row r="173" spans="2:15" x14ac:dyDescent="0.4">
      <c r="B173" s="133"/>
      <c r="C173" s="133"/>
      <c r="D173" s="133"/>
      <c r="E173" s="133"/>
      <c r="L173" s="133"/>
      <c r="M173" s="133"/>
      <c r="N173" s="133"/>
      <c r="O173" s="133"/>
    </row>
    <row r="174" spans="2:15" x14ac:dyDescent="0.4">
      <c r="B174" s="133"/>
      <c r="C174" s="133"/>
      <c r="D174" s="133"/>
      <c r="E174" s="133"/>
      <c r="L174" s="133"/>
      <c r="M174" s="133"/>
      <c r="N174" s="133"/>
      <c r="O174" s="133"/>
    </row>
    <row r="175" spans="2:15" x14ac:dyDescent="0.4">
      <c r="B175" s="133"/>
      <c r="C175" s="133"/>
      <c r="D175" s="133"/>
      <c r="E175" s="133"/>
      <c r="L175" s="133"/>
      <c r="M175" s="133"/>
      <c r="N175" s="133"/>
      <c r="O175" s="133"/>
    </row>
    <row r="176" spans="2:15" x14ac:dyDescent="0.4">
      <c r="B176" s="133"/>
      <c r="C176" s="133"/>
      <c r="D176" s="133"/>
      <c r="E176" s="133"/>
      <c r="L176" s="133"/>
      <c r="M176" s="133"/>
      <c r="N176" s="133"/>
      <c r="O176" s="133"/>
    </row>
    <row r="177" spans="2:15" x14ac:dyDescent="0.4">
      <c r="B177" s="133"/>
      <c r="C177" s="133"/>
      <c r="D177" s="133"/>
      <c r="E177" s="133"/>
      <c r="L177" s="133"/>
      <c r="M177" s="133"/>
      <c r="N177" s="133"/>
      <c r="O177" s="133"/>
    </row>
    <row r="178" spans="2:15" x14ac:dyDescent="0.4">
      <c r="B178" s="133"/>
      <c r="C178" s="133"/>
      <c r="D178" s="133"/>
      <c r="E178" s="133"/>
      <c r="L178" s="133"/>
      <c r="M178" s="133"/>
      <c r="N178" s="133"/>
      <c r="O178" s="133"/>
    </row>
    <row r="179" spans="2:15" x14ac:dyDescent="0.4">
      <c r="B179" s="133"/>
      <c r="C179" s="133"/>
      <c r="D179" s="133"/>
      <c r="E179" s="133"/>
      <c r="L179" s="133"/>
      <c r="M179" s="133"/>
      <c r="N179" s="133"/>
      <c r="O179" s="133"/>
    </row>
    <row r="180" spans="2:15" x14ac:dyDescent="0.4">
      <c r="B180" s="133"/>
      <c r="C180" s="133"/>
      <c r="D180" s="133"/>
      <c r="E180" s="133"/>
      <c r="L180" s="133"/>
      <c r="M180" s="133"/>
      <c r="N180" s="133"/>
      <c r="O180" s="133"/>
    </row>
    <row r="181" spans="2:15" x14ac:dyDescent="0.4">
      <c r="B181" s="133"/>
      <c r="C181" s="133"/>
      <c r="D181" s="133"/>
      <c r="E181" s="133"/>
      <c r="L181" s="133"/>
      <c r="M181" s="133"/>
      <c r="N181" s="133"/>
      <c r="O181" s="133"/>
    </row>
    <row r="182" spans="2:15" x14ac:dyDescent="0.4">
      <c r="B182" s="133"/>
      <c r="C182" s="133"/>
      <c r="D182" s="133"/>
      <c r="E182" s="133"/>
      <c r="L182" s="133"/>
      <c r="M182" s="133"/>
      <c r="N182" s="133"/>
      <c r="O182" s="133"/>
    </row>
    <row r="183" spans="2:15" x14ac:dyDescent="0.4">
      <c r="B183" s="133"/>
      <c r="C183" s="133"/>
      <c r="D183" s="133"/>
      <c r="E183" s="133"/>
      <c r="L183" s="133"/>
      <c r="M183" s="133"/>
    </row>
    <row r="184" spans="2:15" x14ac:dyDescent="0.4">
      <c r="B184" s="133"/>
      <c r="C184" s="133"/>
      <c r="D184" s="133"/>
      <c r="E184" s="133"/>
      <c r="L184" s="133"/>
      <c r="M184" s="133"/>
    </row>
    <row r="185" spans="2:15" x14ac:dyDescent="0.4">
      <c r="B185" s="133"/>
      <c r="C185" s="133"/>
      <c r="D185" s="133"/>
      <c r="E185" s="133"/>
      <c r="L185" s="133"/>
      <c r="M185" s="133"/>
    </row>
    <row r="186" spans="2:15" x14ac:dyDescent="0.4">
      <c r="B186" s="133"/>
      <c r="C186" s="133"/>
      <c r="D186" s="133"/>
      <c r="E186" s="133"/>
      <c r="L186" s="133"/>
      <c r="M186" s="133"/>
    </row>
    <row r="187" spans="2:15" x14ac:dyDescent="0.4">
      <c r="B187" s="133"/>
      <c r="C187" s="133"/>
      <c r="D187" s="133"/>
      <c r="E187" s="133"/>
      <c r="L187" s="133"/>
      <c r="M187" s="133"/>
    </row>
    <row r="188" spans="2:15" x14ac:dyDescent="0.4">
      <c r="B188" s="133"/>
      <c r="C188" s="133"/>
      <c r="D188" s="133"/>
      <c r="E188" s="133"/>
      <c r="L188" s="133"/>
      <c r="M188" s="133"/>
    </row>
    <row r="189" spans="2:15" x14ac:dyDescent="0.4">
      <c r="B189" s="133"/>
      <c r="C189" s="133"/>
      <c r="D189" s="133"/>
      <c r="E189" s="133"/>
      <c r="L189" s="133"/>
      <c r="M189" s="133"/>
    </row>
    <row r="190" spans="2:15" x14ac:dyDescent="0.4">
      <c r="B190" s="133"/>
      <c r="C190" s="133"/>
      <c r="D190" s="133"/>
      <c r="E190" s="133"/>
      <c r="L190" s="133"/>
      <c r="M190" s="133"/>
    </row>
    <row r="191" spans="2:15" x14ac:dyDescent="0.4">
      <c r="B191" s="133"/>
      <c r="C191" s="133"/>
      <c r="D191" s="133"/>
      <c r="E191" s="133"/>
      <c r="L191" s="133"/>
      <c r="M191" s="133"/>
    </row>
    <row r="192" spans="2:15" x14ac:dyDescent="0.4">
      <c r="B192" s="133"/>
      <c r="C192" s="133"/>
      <c r="D192" s="133"/>
      <c r="E192" s="133"/>
      <c r="L192" s="133"/>
      <c r="M192" s="133"/>
    </row>
    <row r="193" spans="2:13" x14ac:dyDescent="0.4">
      <c r="B193" s="133"/>
      <c r="C193" s="133"/>
      <c r="D193" s="133"/>
      <c r="E193" s="133"/>
      <c r="L193" s="133"/>
      <c r="M193" s="133"/>
    </row>
    <row r="194" spans="2:13" x14ac:dyDescent="0.4">
      <c r="B194" s="133"/>
      <c r="C194" s="133"/>
      <c r="D194" s="133"/>
      <c r="E194" s="133"/>
      <c r="L194" s="133"/>
      <c r="M194" s="133"/>
    </row>
    <row r="195" spans="2:13" x14ac:dyDescent="0.4">
      <c r="B195" s="133"/>
      <c r="C195" s="133"/>
      <c r="D195" s="133"/>
      <c r="E195" s="133"/>
      <c r="L195" s="133"/>
      <c r="M195" s="133"/>
    </row>
    <row r="196" spans="2:13" x14ac:dyDescent="0.4">
      <c r="B196" s="133"/>
      <c r="C196" s="133"/>
      <c r="D196" s="133"/>
      <c r="E196" s="133"/>
      <c r="L196" s="133"/>
      <c r="M196" s="133"/>
    </row>
    <row r="197" spans="2:13" x14ac:dyDescent="0.4">
      <c r="B197" s="133"/>
      <c r="C197" s="133"/>
      <c r="D197" s="133"/>
      <c r="E197" s="133"/>
      <c r="L197" s="133"/>
      <c r="M197" s="133"/>
    </row>
    <row r="198" spans="2:13" x14ac:dyDescent="0.4">
      <c r="B198" s="133"/>
      <c r="C198" s="133"/>
      <c r="D198" s="133"/>
      <c r="E198" s="133"/>
      <c r="L198" s="133"/>
      <c r="M198" s="133"/>
    </row>
    <row r="199" spans="2:13" x14ac:dyDescent="0.4">
      <c r="B199" s="133"/>
      <c r="C199" s="133"/>
      <c r="D199" s="133"/>
      <c r="E199" s="133"/>
      <c r="L199" s="133"/>
      <c r="M199" s="133"/>
    </row>
    <row r="200" spans="2:13" x14ac:dyDescent="0.4">
      <c r="B200" s="133"/>
      <c r="C200" s="133"/>
      <c r="D200" s="133"/>
      <c r="E200" s="133"/>
      <c r="L200" s="133"/>
      <c r="M200" s="133"/>
    </row>
    <row r="201" spans="2:13" x14ac:dyDescent="0.4">
      <c r="B201" s="133"/>
      <c r="C201" s="133"/>
      <c r="D201" s="133"/>
      <c r="E201" s="133"/>
      <c r="L201" s="133"/>
      <c r="M201" s="133"/>
    </row>
    <row r="202" spans="2:13" x14ac:dyDescent="0.4">
      <c r="B202" s="133"/>
      <c r="C202" s="133"/>
      <c r="D202" s="133"/>
      <c r="E202" s="133"/>
      <c r="L202" s="133"/>
      <c r="M202" s="133"/>
    </row>
    <row r="203" spans="2:13" x14ac:dyDescent="0.4">
      <c r="B203" s="133"/>
      <c r="C203" s="133"/>
      <c r="D203" s="133"/>
      <c r="E203" s="133"/>
      <c r="L203" s="133"/>
      <c r="M203" s="133"/>
    </row>
    <row r="204" spans="2:13" x14ac:dyDescent="0.4">
      <c r="B204" s="133"/>
      <c r="C204" s="133"/>
      <c r="D204" s="133"/>
      <c r="E204" s="133"/>
      <c r="L204" s="133"/>
      <c r="M204" s="133"/>
    </row>
    <row r="205" spans="2:13" x14ac:dyDescent="0.4">
      <c r="B205" s="133"/>
      <c r="C205" s="133"/>
      <c r="D205" s="133"/>
      <c r="E205" s="133"/>
      <c r="L205" s="133"/>
      <c r="M205" s="133"/>
    </row>
    <row r="206" spans="2:13" x14ac:dyDescent="0.4">
      <c r="B206" s="133"/>
      <c r="C206" s="133"/>
      <c r="D206" s="133"/>
      <c r="E206" s="133"/>
      <c r="L206" s="133"/>
      <c r="M206" s="133"/>
    </row>
    <row r="207" spans="2:13" x14ac:dyDescent="0.4">
      <c r="B207" s="133"/>
      <c r="C207" s="133"/>
      <c r="D207" s="133"/>
      <c r="E207" s="133"/>
      <c r="L207" s="133"/>
      <c r="M207" s="133"/>
    </row>
    <row r="208" spans="2:13" x14ac:dyDescent="0.4">
      <c r="B208" s="133"/>
      <c r="C208" s="133"/>
      <c r="D208" s="133"/>
      <c r="E208" s="133"/>
      <c r="L208" s="133"/>
      <c r="M208" s="133"/>
    </row>
    <row r="209" spans="2:13" x14ac:dyDescent="0.4">
      <c r="B209" s="133"/>
      <c r="C209" s="133"/>
      <c r="D209" s="133"/>
      <c r="E209" s="133"/>
      <c r="L209" s="133"/>
      <c r="M209" s="133"/>
    </row>
    <row r="210" spans="2:13" x14ac:dyDescent="0.4">
      <c r="B210" s="133"/>
      <c r="C210" s="133"/>
      <c r="D210" s="133"/>
      <c r="E210" s="133"/>
      <c r="L210" s="133"/>
      <c r="M210" s="133"/>
    </row>
    <row r="211" spans="2:13" x14ac:dyDescent="0.4">
      <c r="B211" s="133"/>
      <c r="C211" s="133"/>
      <c r="D211" s="133"/>
      <c r="E211" s="133"/>
      <c r="L211" s="133"/>
      <c r="M211" s="133"/>
    </row>
    <row r="212" spans="2:13" x14ac:dyDescent="0.4">
      <c r="B212" s="133"/>
      <c r="C212" s="133"/>
      <c r="D212" s="133"/>
      <c r="E212" s="133"/>
      <c r="L212" s="133"/>
      <c r="M212" s="133"/>
    </row>
    <row r="213" spans="2:13" x14ac:dyDescent="0.4">
      <c r="B213" s="133"/>
      <c r="C213" s="133"/>
      <c r="D213" s="133"/>
      <c r="E213" s="133"/>
      <c r="L213" s="133"/>
      <c r="M213" s="133"/>
    </row>
    <row r="214" spans="2:13" x14ac:dyDescent="0.4">
      <c r="B214" s="133"/>
      <c r="C214" s="133"/>
      <c r="D214" s="133"/>
      <c r="E214" s="133"/>
      <c r="L214" s="133"/>
      <c r="M214" s="133"/>
    </row>
    <row r="215" spans="2:13" x14ac:dyDescent="0.4">
      <c r="B215" s="133"/>
      <c r="C215" s="133"/>
      <c r="D215" s="133"/>
      <c r="E215" s="133"/>
      <c r="L215" s="133"/>
      <c r="M215" s="133"/>
    </row>
    <row r="216" spans="2:13" x14ac:dyDescent="0.4">
      <c r="B216" s="133"/>
      <c r="C216" s="133"/>
      <c r="D216" s="133"/>
      <c r="E216" s="133"/>
      <c r="L216" s="133"/>
      <c r="M216" s="133"/>
    </row>
    <row r="217" spans="2:13" x14ac:dyDescent="0.4">
      <c r="B217" s="133"/>
      <c r="C217" s="133"/>
      <c r="D217" s="133"/>
      <c r="E217" s="133"/>
      <c r="L217" s="133"/>
      <c r="M217" s="133"/>
    </row>
    <row r="218" spans="2:13" x14ac:dyDescent="0.4">
      <c r="B218" s="133"/>
      <c r="C218" s="133"/>
      <c r="D218" s="133"/>
      <c r="E218" s="133"/>
      <c r="L218" s="133"/>
      <c r="M218" s="133"/>
    </row>
    <row r="219" spans="2:13" x14ac:dyDescent="0.4">
      <c r="B219" s="133"/>
      <c r="C219" s="133"/>
      <c r="D219" s="133"/>
      <c r="E219" s="133"/>
      <c r="L219" s="133"/>
      <c r="M219" s="133"/>
    </row>
    <row r="220" spans="2:13" x14ac:dyDescent="0.4">
      <c r="B220" s="133"/>
      <c r="C220" s="133"/>
      <c r="D220" s="133"/>
      <c r="E220" s="133"/>
      <c r="L220" s="133"/>
      <c r="M220" s="133"/>
    </row>
    <row r="221" spans="2:13" x14ac:dyDescent="0.4">
      <c r="B221" s="133"/>
      <c r="C221" s="133"/>
      <c r="D221" s="133"/>
      <c r="E221" s="133"/>
      <c r="L221" s="133"/>
      <c r="M221" s="133"/>
    </row>
    <row r="222" spans="2:13" x14ac:dyDescent="0.4">
      <c r="B222" s="133"/>
      <c r="C222" s="133"/>
      <c r="D222" s="133"/>
      <c r="E222" s="133"/>
      <c r="L222" s="133"/>
      <c r="M222" s="133"/>
    </row>
    <row r="223" spans="2:13" x14ac:dyDescent="0.4">
      <c r="B223" s="133"/>
      <c r="C223" s="133"/>
      <c r="D223" s="133"/>
      <c r="E223" s="133"/>
      <c r="L223" s="133"/>
      <c r="M223" s="133"/>
    </row>
    <row r="224" spans="2:13" x14ac:dyDescent="0.4">
      <c r="B224" s="133"/>
      <c r="C224" s="133"/>
      <c r="D224" s="133"/>
      <c r="E224" s="133"/>
      <c r="L224" s="133"/>
      <c r="M224" s="133"/>
    </row>
    <row r="225" spans="2:13" x14ac:dyDescent="0.4">
      <c r="B225" s="133"/>
      <c r="C225" s="133"/>
      <c r="D225" s="133"/>
      <c r="E225" s="133"/>
      <c r="L225" s="133"/>
      <c r="M225" s="133"/>
    </row>
    <row r="226" spans="2:13" x14ac:dyDescent="0.4">
      <c r="B226" s="133"/>
      <c r="C226" s="133"/>
      <c r="D226" s="133"/>
      <c r="E226" s="133"/>
      <c r="L226" s="133"/>
      <c r="M226" s="133"/>
    </row>
    <row r="227" spans="2:13" x14ac:dyDescent="0.4">
      <c r="B227" s="133"/>
      <c r="C227" s="133"/>
      <c r="D227" s="133"/>
      <c r="E227" s="133"/>
      <c r="L227" s="133"/>
      <c r="M227" s="133"/>
    </row>
    <row r="228" spans="2:13" x14ac:dyDescent="0.4">
      <c r="B228" s="133"/>
      <c r="C228" s="133"/>
      <c r="D228" s="133"/>
      <c r="E228" s="133"/>
      <c r="L228" s="133"/>
      <c r="M228" s="133"/>
    </row>
    <row r="229" spans="2:13" x14ac:dyDescent="0.4">
      <c r="B229" s="133"/>
      <c r="C229" s="133"/>
      <c r="D229" s="133"/>
      <c r="E229" s="133"/>
      <c r="L229" s="133"/>
      <c r="M229" s="133"/>
    </row>
    <row r="230" spans="2:13" x14ac:dyDescent="0.4">
      <c r="B230" s="133"/>
      <c r="C230" s="133"/>
      <c r="D230" s="133"/>
      <c r="E230" s="133"/>
      <c r="L230" s="133"/>
      <c r="M230" s="133"/>
    </row>
    <row r="231" spans="2:13" x14ac:dyDescent="0.4">
      <c r="B231" s="133"/>
      <c r="C231" s="133"/>
      <c r="D231" s="133"/>
      <c r="E231" s="133"/>
      <c r="L231" s="133"/>
      <c r="M231" s="133"/>
    </row>
    <row r="232" spans="2:13" x14ac:dyDescent="0.4">
      <c r="B232" s="133"/>
      <c r="C232" s="133"/>
      <c r="D232" s="133"/>
      <c r="E232" s="133"/>
      <c r="L232" s="133"/>
      <c r="M232" s="133"/>
    </row>
    <row r="233" spans="2:13" x14ac:dyDescent="0.4">
      <c r="B233" s="133"/>
      <c r="C233" s="133"/>
      <c r="D233" s="133"/>
      <c r="E233" s="133"/>
      <c r="L233" s="133"/>
      <c r="M233" s="133"/>
    </row>
    <row r="234" spans="2:13" x14ac:dyDescent="0.4">
      <c r="B234" s="133"/>
      <c r="C234" s="133"/>
      <c r="D234" s="133"/>
      <c r="E234" s="133"/>
      <c r="L234" s="133"/>
      <c r="M234" s="133"/>
    </row>
    <row r="235" spans="2:13" x14ac:dyDescent="0.4">
      <c r="B235" s="133"/>
      <c r="C235" s="133"/>
      <c r="D235" s="133"/>
      <c r="E235" s="133"/>
      <c r="L235" s="133"/>
      <c r="M235" s="133"/>
    </row>
    <row r="236" spans="2:13" x14ac:dyDescent="0.4">
      <c r="B236" s="133"/>
      <c r="C236" s="133"/>
      <c r="D236" s="133"/>
      <c r="E236" s="133"/>
      <c r="L236" s="133"/>
      <c r="M236" s="133"/>
    </row>
    <row r="237" spans="2:13" x14ac:dyDescent="0.4">
      <c r="B237" s="133"/>
      <c r="C237" s="133"/>
      <c r="D237" s="133"/>
      <c r="E237" s="133"/>
      <c r="L237" s="133"/>
      <c r="M237" s="133"/>
    </row>
    <row r="238" spans="2:13" x14ac:dyDescent="0.4">
      <c r="B238" s="133"/>
      <c r="C238" s="133"/>
      <c r="D238" s="133"/>
      <c r="E238" s="133"/>
      <c r="L238" s="133"/>
      <c r="M238" s="133"/>
    </row>
    <row r="239" spans="2:13" x14ac:dyDescent="0.4">
      <c r="B239" s="133"/>
      <c r="C239" s="133"/>
      <c r="D239" s="133"/>
      <c r="E239" s="133"/>
      <c r="L239" s="133"/>
      <c r="M239" s="133"/>
    </row>
    <row r="240" spans="2:13" x14ac:dyDescent="0.4">
      <c r="B240" s="133"/>
      <c r="C240" s="133"/>
      <c r="D240" s="133"/>
      <c r="E240" s="133"/>
      <c r="L240" s="133"/>
      <c r="M240" s="133"/>
    </row>
    <row r="241" spans="2:13" x14ac:dyDescent="0.4">
      <c r="B241" s="133"/>
      <c r="C241" s="133"/>
      <c r="D241" s="133"/>
      <c r="E241" s="133"/>
      <c r="L241" s="133"/>
      <c r="M241" s="133"/>
    </row>
    <row r="242" spans="2:13" x14ac:dyDescent="0.4">
      <c r="B242" s="133"/>
      <c r="C242" s="133"/>
      <c r="D242" s="133"/>
      <c r="E242" s="133"/>
      <c r="L242" s="133"/>
      <c r="M242" s="133"/>
    </row>
    <row r="243" spans="2:13" x14ac:dyDescent="0.4">
      <c r="B243" s="133"/>
      <c r="C243" s="133"/>
      <c r="D243" s="133"/>
      <c r="E243" s="133"/>
      <c r="L243" s="133"/>
      <c r="M243" s="133"/>
    </row>
    <row r="244" spans="2:13" x14ac:dyDescent="0.4">
      <c r="B244" s="133"/>
      <c r="C244" s="133"/>
      <c r="D244" s="133"/>
      <c r="E244" s="133"/>
      <c r="L244" s="133"/>
      <c r="M244" s="133"/>
    </row>
    <row r="245" spans="2:13" x14ac:dyDescent="0.4">
      <c r="B245" s="133"/>
      <c r="C245" s="133"/>
      <c r="D245" s="133"/>
      <c r="E245" s="133"/>
      <c r="L245" s="133"/>
      <c r="M245" s="133"/>
    </row>
    <row r="246" spans="2:13" x14ac:dyDescent="0.4">
      <c r="B246" s="133"/>
      <c r="C246" s="133"/>
      <c r="D246" s="133"/>
      <c r="E246" s="133"/>
      <c r="L246" s="133"/>
      <c r="M246" s="133"/>
    </row>
    <row r="247" spans="2:13" x14ac:dyDescent="0.4">
      <c r="B247" s="133"/>
      <c r="C247" s="133"/>
      <c r="D247" s="133"/>
      <c r="E247" s="133"/>
      <c r="L247" s="133"/>
      <c r="M247" s="133"/>
    </row>
    <row r="248" spans="2:13" x14ac:dyDescent="0.4">
      <c r="B248" s="133"/>
      <c r="C248" s="133"/>
      <c r="D248" s="133"/>
      <c r="E248" s="133"/>
      <c r="L248" s="133"/>
      <c r="M248" s="133"/>
    </row>
    <row r="249" spans="2:13" x14ac:dyDescent="0.4">
      <c r="B249" s="133"/>
      <c r="C249" s="133"/>
      <c r="D249" s="133"/>
      <c r="E249" s="133"/>
      <c r="L249" s="133"/>
      <c r="M249" s="133"/>
    </row>
    <row r="250" spans="2:13" x14ac:dyDescent="0.4">
      <c r="B250" s="133"/>
      <c r="C250" s="133"/>
      <c r="D250" s="133"/>
      <c r="E250" s="133"/>
      <c r="L250" s="133"/>
      <c r="M250" s="133"/>
    </row>
    <row r="251" spans="2:13" x14ac:dyDescent="0.4">
      <c r="C251" s="133"/>
      <c r="D251" s="133"/>
      <c r="E251" s="133"/>
      <c r="L251" s="133"/>
      <c r="M251" s="133"/>
    </row>
    <row r="252" spans="2:13" x14ac:dyDescent="0.4">
      <c r="C252" s="133"/>
      <c r="D252" s="133"/>
      <c r="E252" s="133"/>
      <c r="L252" s="133"/>
      <c r="M252" s="133"/>
    </row>
    <row r="253" spans="2:13" x14ac:dyDescent="0.4">
      <c r="L253" s="133"/>
      <c r="M253" s="133"/>
    </row>
    <row r="254" spans="2:13" x14ac:dyDescent="0.4">
      <c r="L254" s="133"/>
      <c r="M254" s="133"/>
    </row>
    <row r="255" spans="2:13" x14ac:dyDescent="0.4">
      <c r="L255" s="133"/>
      <c r="M255" s="133"/>
    </row>
    <row r="256" spans="2:13" x14ac:dyDescent="0.4">
      <c r="L256" s="133"/>
      <c r="M256" s="133"/>
    </row>
    <row r="257" spans="12:13" x14ac:dyDescent="0.4">
      <c r="L257" s="133"/>
      <c r="M257" s="133"/>
    </row>
    <row r="258" spans="12:13" x14ac:dyDescent="0.4">
      <c r="L258" s="133"/>
      <c r="M258" s="133"/>
    </row>
    <row r="259" spans="12:13" x14ac:dyDescent="0.4">
      <c r="L259" s="133"/>
      <c r="M259" s="133"/>
    </row>
    <row r="260" spans="12:13" x14ac:dyDescent="0.4">
      <c r="L260" s="133"/>
      <c r="M260" s="133"/>
    </row>
  </sheetData>
  <mergeCells count="432">
    <mergeCell ref="B22:B23"/>
    <mergeCell ref="B20:B21"/>
    <mergeCell ref="B18:B19"/>
    <mergeCell ref="B16:B17"/>
    <mergeCell ref="F8:K9"/>
    <mergeCell ref="C40:E41"/>
    <mergeCell ref="C38:E39"/>
    <mergeCell ref="C36:E37"/>
    <mergeCell ref="C34:E35"/>
    <mergeCell ref="C32:E33"/>
    <mergeCell ref="C30:E31"/>
    <mergeCell ref="C28:E29"/>
    <mergeCell ref="C26:E27"/>
    <mergeCell ref="C24:E25"/>
    <mergeCell ref="C22:E23"/>
    <mergeCell ref="C20:E21"/>
    <mergeCell ref="C18:E19"/>
    <mergeCell ref="C16:E17"/>
    <mergeCell ref="C14:E15"/>
    <mergeCell ref="C12:E13"/>
    <mergeCell ref="C10:E11"/>
    <mergeCell ref="C8:E9"/>
    <mergeCell ref="F34:K35"/>
    <mergeCell ref="F32:K33"/>
    <mergeCell ref="F28:K29"/>
    <mergeCell ref="F26:K27"/>
    <mergeCell ref="N8:O9"/>
    <mergeCell ref="L40:M41"/>
    <mergeCell ref="L38:M39"/>
    <mergeCell ref="L36:M37"/>
    <mergeCell ref="L34:M35"/>
    <mergeCell ref="L32:M33"/>
    <mergeCell ref="L30:M31"/>
    <mergeCell ref="L28:M29"/>
    <mergeCell ref="L26:M27"/>
    <mergeCell ref="L24:M25"/>
    <mergeCell ref="L22:M23"/>
    <mergeCell ref="L20:M21"/>
    <mergeCell ref="L18:M19"/>
    <mergeCell ref="L16:M17"/>
    <mergeCell ref="L14:M15"/>
    <mergeCell ref="L12:M13"/>
    <mergeCell ref="L10:M11"/>
    <mergeCell ref="L8:M9"/>
    <mergeCell ref="N18:O19"/>
    <mergeCell ref="N16:O17"/>
    <mergeCell ref="N14:O15"/>
    <mergeCell ref="N12:O13"/>
    <mergeCell ref="F40:K41"/>
    <mergeCell ref="F38:K39"/>
    <mergeCell ref="F36:K37"/>
    <mergeCell ref="B40:B41"/>
    <mergeCell ref="N10:O11"/>
    <mergeCell ref="F14:K15"/>
    <mergeCell ref="F12:K13"/>
    <mergeCell ref="F10:K11"/>
    <mergeCell ref="B24:B25"/>
    <mergeCell ref="B26:B27"/>
    <mergeCell ref="B28:B29"/>
    <mergeCell ref="B30:B31"/>
    <mergeCell ref="B32:B33"/>
    <mergeCell ref="B34:B35"/>
    <mergeCell ref="B36:B37"/>
    <mergeCell ref="B38:B39"/>
    <mergeCell ref="F24:K25"/>
    <mergeCell ref="F22:K23"/>
    <mergeCell ref="F20:K21"/>
    <mergeCell ref="F18:K19"/>
    <mergeCell ref="F30:K31"/>
    <mergeCell ref="F16:K17"/>
    <mergeCell ref="B2:O5"/>
    <mergeCell ref="B6:B7"/>
    <mergeCell ref="C6:E7"/>
    <mergeCell ref="F6:K7"/>
    <mergeCell ref="L6:M7"/>
    <mergeCell ref="N6:O7"/>
    <mergeCell ref="B8:B9"/>
    <mergeCell ref="B10:B11"/>
    <mergeCell ref="B87:B88"/>
    <mergeCell ref="C87:E88"/>
    <mergeCell ref="L87:M88"/>
    <mergeCell ref="B14:B15"/>
    <mergeCell ref="B12:B13"/>
    <mergeCell ref="N40:O41"/>
    <mergeCell ref="N38:O39"/>
    <mergeCell ref="N36:O37"/>
    <mergeCell ref="N34:O35"/>
    <mergeCell ref="N32:O33"/>
    <mergeCell ref="N30:O31"/>
    <mergeCell ref="N28:O29"/>
    <mergeCell ref="N26:O27"/>
    <mergeCell ref="N24:O25"/>
    <mergeCell ref="N22:O23"/>
    <mergeCell ref="N20:O21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C89:E90"/>
    <mergeCell ref="C91:E92"/>
    <mergeCell ref="C93:E94"/>
    <mergeCell ref="C95:E96"/>
    <mergeCell ref="C97:E98"/>
    <mergeCell ref="C99:E100"/>
    <mergeCell ref="C101:E102"/>
    <mergeCell ref="C103:E104"/>
    <mergeCell ref="C105:E106"/>
    <mergeCell ref="C107:E108"/>
    <mergeCell ref="C109:E110"/>
    <mergeCell ref="C111:E112"/>
    <mergeCell ref="C113:E114"/>
    <mergeCell ref="C115:E116"/>
    <mergeCell ref="C117:E118"/>
    <mergeCell ref="C119:E120"/>
    <mergeCell ref="C121:E122"/>
    <mergeCell ref="C123:E124"/>
    <mergeCell ref="C125:E126"/>
    <mergeCell ref="C127:E128"/>
    <mergeCell ref="C129:E130"/>
    <mergeCell ref="C131:E132"/>
    <mergeCell ref="C133:E134"/>
    <mergeCell ref="C135:E136"/>
    <mergeCell ref="C137:E138"/>
    <mergeCell ref="C139:E140"/>
    <mergeCell ref="C141:E142"/>
    <mergeCell ref="C143:E144"/>
    <mergeCell ref="C145:E146"/>
    <mergeCell ref="C147:E148"/>
    <mergeCell ref="C149:E150"/>
    <mergeCell ref="C151:E152"/>
    <mergeCell ref="C153:E154"/>
    <mergeCell ref="C155:E156"/>
    <mergeCell ref="C157:E158"/>
    <mergeCell ref="C159:E160"/>
    <mergeCell ref="C161:E162"/>
    <mergeCell ref="C163:E164"/>
    <mergeCell ref="C165:E166"/>
    <mergeCell ref="C167:E168"/>
    <mergeCell ref="C169:E170"/>
    <mergeCell ref="C171:E172"/>
    <mergeCell ref="C173:E174"/>
    <mergeCell ref="C175:E176"/>
    <mergeCell ref="C177:E178"/>
    <mergeCell ref="C179:E180"/>
    <mergeCell ref="C181:E182"/>
    <mergeCell ref="C183:E184"/>
    <mergeCell ref="C185:E186"/>
    <mergeCell ref="C187:E188"/>
    <mergeCell ref="C189:E190"/>
    <mergeCell ref="C191:E192"/>
    <mergeCell ref="C193:E194"/>
    <mergeCell ref="C195:E196"/>
    <mergeCell ref="C197:E198"/>
    <mergeCell ref="C199:E200"/>
    <mergeCell ref="C201:E202"/>
    <mergeCell ref="C203:E204"/>
    <mergeCell ref="C205:E206"/>
    <mergeCell ref="C207:E208"/>
    <mergeCell ref="C209:E210"/>
    <mergeCell ref="C211:E212"/>
    <mergeCell ref="C213:E214"/>
    <mergeCell ref="C215:E216"/>
    <mergeCell ref="C217:E218"/>
    <mergeCell ref="C219:E220"/>
    <mergeCell ref="C221:E222"/>
    <mergeCell ref="C223:E224"/>
    <mergeCell ref="C225:E226"/>
    <mergeCell ref="C227:E228"/>
    <mergeCell ref="C229:E230"/>
    <mergeCell ref="C231:E232"/>
    <mergeCell ref="C233:E234"/>
    <mergeCell ref="C235:E236"/>
    <mergeCell ref="C237:E238"/>
    <mergeCell ref="C239:E240"/>
    <mergeCell ref="C241:E242"/>
    <mergeCell ref="C243:E244"/>
    <mergeCell ref="C245:E246"/>
    <mergeCell ref="C247:E248"/>
    <mergeCell ref="C249:E250"/>
    <mergeCell ref="C251:E252"/>
    <mergeCell ref="F87:K88"/>
    <mergeCell ref="F89:K90"/>
    <mergeCell ref="F91:K92"/>
    <mergeCell ref="F93:K94"/>
    <mergeCell ref="F95:K96"/>
    <mergeCell ref="F97:K98"/>
    <mergeCell ref="F99:K100"/>
    <mergeCell ref="F101:K102"/>
    <mergeCell ref="F103:K104"/>
    <mergeCell ref="F105:K106"/>
    <mergeCell ref="F107:K108"/>
    <mergeCell ref="F109:K110"/>
    <mergeCell ref="F111:K112"/>
    <mergeCell ref="F113:K114"/>
    <mergeCell ref="F115:K116"/>
    <mergeCell ref="F117:K118"/>
    <mergeCell ref="F119:K120"/>
    <mergeCell ref="F121:K122"/>
    <mergeCell ref="F123:K124"/>
    <mergeCell ref="F125:K126"/>
    <mergeCell ref="F127:K128"/>
    <mergeCell ref="F129:K130"/>
    <mergeCell ref="F131:K132"/>
    <mergeCell ref="F133:K134"/>
    <mergeCell ref="F135:K136"/>
    <mergeCell ref="F137:K138"/>
    <mergeCell ref="F139:K140"/>
    <mergeCell ref="F141:K142"/>
    <mergeCell ref="F143:K144"/>
    <mergeCell ref="F145:K146"/>
    <mergeCell ref="F147:K148"/>
    <mergeCell ref="F149:K150"/>
    <mergeCell ref="F151:K152"/>
    <mergeCell ref="F153:K154"/>
    <mergeCell ref="F155:K156"/>
    <mergeCell ref="F157:K158"/>
    <mergeCell ref="F159:K160"/>
    <mergeCell ref="F161:K162"/>
    <mergeCell ref="F163:K164"/>
    <mergeCell ref="F165:K166"/>
    <mergeCell ref="F167:K168"/>
    <mergeCell ref="L89:M90"/>
    <mergeCell ref="L91:M92"/>
    <mergeCell ref="L93:M94"/>
    <mergeCell ref="L95:M96"/>
    <mergeCell ref="L97:M98"/>
    <mergeCell ref="L99:M100"/>
    <mergeCell ref="L101:M102"/>
    <mergeCell ref="L103:M104"/>
    <mergeCell ref="L105:M106"/>
    <mergeCell ref="L107:M108"/>
    <mergeCell ref="L109:M110"/>
    <mergeCell ref="L111:M112"/>
    <mergeCell ref="L113:M114"/>
    <mergeCell ref="L115:M116"/>
    <mergeCell ref="L117:M118"/>
    <mergeCell ref="L119:M120"/>
    <mergeCell ref="L121:M122"/>
    <mergeCell ref="L123:M124"/>
    <mergeCell ref="L125:M126"/>
    <mergeCell ref="L127:M128"/>
    <mergeCell ref="L129:M130"/>
    <mergeCell ref="L131:M132"/>
    <mergeCell ref="L133:M134"/>
    <mergeCell ref="L135:M136"/>
    <mergeCell ref="L137:M138"/>
    <mergeCell ref="L139:M140"/>
    <mergeCell ref="L141:M142"/>
    <mergeCell ref="L143:M144"/>
    <mergeCell ref="L145:M146"/>
    <mergeCell ref="L147:M148"/>
    <mergeCell ref="L149:M150"/>
    <mergeCell ref="L151:M152"/>
    <mergeCell ref="L153:M154"/>
    <mergeCell ref="L155:M156"/>
    <mergeCell ref="L157:M158"/>
    <mergeCell ref="L159:M160"/>
    <mergeCell ref="L161:M162"/>
    <mergeCell ref="L163:M164"/>
    <mergeCell ref="L165:M166"/>
    <mergeCell ref="L167:M168"/>
    <mergeCell ref="L169:M170"/>
    <mergeCell ref="L171:M172"/>
    <mergeCell ref="L173:M174"/>
    <mergeCell ref="L175:M176"/>
    <mergeCell ref="L177:M178"/>
    <mergeCell ref="L179:M180"/>
    <mergeCell ref="L181:M182"/>
    <mergeCell ref="L183:M184"/>
    <mergeCell ref="L185:M186"/>
    <mergeCell ref="L187:M188"/>
    <mergeCell ref="L189:M190"/>
    <mergeCell ref="L191:M192"/>
    <mergeCell ref="L193:M194"/>
    <mergeCell ref="L195:M196"/>
    <mergeCell ref="L197:M198"/>
    <mergeCell ref="L199:M200"/>
    <mergeCell ref="L201:M202"/>
    <mergeCell ref="L203:M204"/>
    <mergeCell ref="L205:M206"/>
    <mergeCell ref="L207:M208"/>
    <mergeCell ref="L209:M210"/>
    <mergeCell ref="L211:M212"/>
    <mergeCell ref="L213:M214"/>
    <mergeCell ref="L215:M216"/>
    <mergeCell ref="L217:M218"/>
    <mergeCell ref="L219:M220"/>
    <mergeCell ref="L221:M222"/>
    <mergeCell ref="L223:M224"/>
    <mergeCell ref="L225:M226"/>
    <mergeCell ref="L227:M228"/>
    <mergeCell ref="L229:M230"/>
    <mergeCell ref="L231:M232"/>
    <mergeCell ref="L233:M234"/>
    <mergeCell ref="L235:M236"/>
    <mergeCell ref="L237:M238"/>
    <mergeCell ref="L239:M240"/>
    <mergeCell ref="L241:M242"/>
    <mergeCell ref="L243:M244"/>
    <mergeCell ref="L245:M246"/>
    <mergeCell ref="L247:M248"/>
    <mergeCell ref="L249:M250"/>
    <mergeCell ref="L251:M252"/>
    <mergeCell ref="L253:M254"/>
    <mergeCell ref="L255:M256"/>
    <mergeCell ref="L257:M258"/>
    <mergeCell ref="L259:M260"/>
    <mergeCell ref="N87:O88"/>
    <mergeCell ref="N89:O90"/>
    <mergeCell ref="N91:O92"/>
    <mergeCell ref="N93:O94"/>
    <mergeCell ref="N95:O96"/>
    <mergeCell ref="N97:O98"/>
    <mergeCell ref="N99:O100"/>
    <mergeCell ref="N101:O102"/>
    <mergeCell ref="N103:O104"/>
    <mergeCell ref="N105:O106"/>
    <mergeCell ref="N107:O108"/>
    <mergeCell ref="N109:O110"/>
    <mergeCell ref="N111:O112"/>
    <mergeCell ref="N147:O148"/>
    <mergeCell ref="N113:O114"/>
    <mergeCell ref="N115:O116"/>
    <mergeCell ref="N117:O118"/>
    <mergeCell ref="N119:O120"/>
    <mergeCell ref="N121:O122"/>
    <mergeCell ref="N123:O124"/>
    <mergeCell ref="N125:O126"/>
    <mergeCell ref="N127:O128"/>
    <mergeCell ref="N129:O130"/>
    <mergeCell ref="N171:O172"/>
    <mergeCell ref="N173:O174"/>
    <mergeCell ref="N175:O176"/>
    <mergeCell ref="N177:O178"/>
    <mergeCell ref="N179:O180"/>
    <mergeCell ref="N131:O132"/>
    <mergeCell ref="N133:O134"/>
    <mergeCell ref="N135:O136"/>
    <mergeCell ref="N137:O138"/>
    <mergeCell ref="N139:O140"/>
    <mergeCell ref="N141:O142"/>
    <mergeCell ref="N143:O144"/>
    <mergeCell ref="N145:O146"/>
    <mergeCell ref="N181:O182"/>
    <mergeCell ref="N149:O150"/>
    <mergeCell ref="N151:O152"/>
    <mergeCell ref="N167:O168"/>
    <mergeCell ref="N169:O170"/>
    <mergeCell ref="N153:O154"/>
    <mergeCell ref="N155:O156"/>
    <mergeCell ref="N157:O158"/>
    <mergeCell ref="N159:O160"/>
    <mergeCell ref="N161:O162"/>
    <mergeCell ref="N163:O164"/>
    <mergeCell ref="N165:O166"/>
  </mergeCells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0CF2-5C01-479E-BEB6-08D9DA61F014}">
  <dimension ref="B1:U47"/>
  <sheetViews>
    <sheetView zoomScale="70" zoomScaleNormal="70" workbookViewId="0">
      <selection activeCell="U15" sqref="U15"/>
    </sheetView>
  </sheetViews>
  <sheetFormatPr defaultRowHeight="17.399999999999999" x14ac:dyDescent="0.4"/>
  <sheetData>
    <row r="1" spans="2:21" ht="18" thickBot="1" x14ac:dyDescent="0.45"/>
    <row r="2" spans="2:21" x14ac:dyDescent="0.4">
      <c r="B2" s="148" t="s">
        <v>4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</row>
    <row r="3" spans="2:21" x14ac:dyDescent="0.4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3"/>
    </row>
    <row r="4" spans="2:21" x14ac:dyDescent="0.4"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3"/>
    </row>
    <row r="5" spans="2:21" ht="18" thickBot="1" x14ac:dyDescent="0.45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6"/>
    </row>
    <row r="6" spans="2:21" x14ac:dyDescent="0.4">
      <c r="B6" s="131" t="s">
        <v>9</v>
      </c>
      <c r="C6" s="119" t="s">
        <v>8</v>
      </c>
      <c r="D6" s="120"/>
      <c r="E6" s="121"/>
      <c r="F6" s="119" t="s">
        <v>7</v>
      </c>
      <c r="G6" s="120"/>
      <c r="H6" s="120"/>
      <c r="I6" s="120"/>
      <c r="J6" s="120"/>
      <c r="K6" s="121"/>
      <c r="L6" s="119" t="s">
        <v>24</v>
      </c>
      <c r="M6" s="121"/>
      <c r="N6" s="119" t="s">
        <v>25</v>
      </c>
      <c r="O6" s="121"/>
    </row>
    <row r="7" spans="2:21" ht="18" thickBot="1" x14ac:dyDescent="0.45">
      <c r="B7" s="132"/>
      <c r="C7" s="122"/>
      <c r="D7" s="123"/>
      <c r="E7" s="124"/>
      <c r="F7" s="122"/>
      <c r="G7" s="123"/>
      <c r="H7" s="123"/>
      <c r="I7" s="123"/>
      <c r="J7" s="123"/>
      <c r="K7" s="124"/>
      <c r="L7" s="122"/>
      <c r="M7" s="124"/>
      <c r="N7" s="122"/>
      <c r="O7" s="124"/>
    </row>
    <row r="8" spans="2:21" x14ac:dyDescent="0.4">
      <c r="B8" s="103">
        <v>1</v>
      </c>
      <c r="C8" s="146" t="s">
        <v>59</v>
      </c>
      <c r="D8" s="103"/>
      <c r="E8" s="103"/>
      <c r="F8" s="146" t="s">
        <v>82</v>
      </c>
      <c r="G8" s="103"/>
      <c r="H8" s="103"/>
      <c r="I8" s="103"/>
      <c r="J8" s="103"/>
      <c r="K8" s="103"/>
      <c r="L8" s="103">
        <v>1</v>
      </c>
      <c r="M8" s="103"/>
      <c r="N8" s="103">
        <f>Total!H55</f>
        <v>6</v>
      </c>
      <c r="O8" s="103"/>
      <c r="Q8" s="133" t="s">
        <v>90</v>
      </c>
      <c r="R8" s="133"/>
    </row>
    <row r="9" spans="2:21" ht="18" thickBot="1" x14ac:dyDescent="0.45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</row>
    <row r="10" spans="2:21" ht="18" thickBot="1" x14ac:dyDescent="0.45">
      <c r="B10" s="94">
        <v>2</v>
      </c>
      <c r="C10" s="147" t="s">
        <v>60</v>
      </c>
      <c r="D10" s="94"/>
      <c r="E10" s="94"/>
      <c r="F10" s="147" t="s">
        <v>81</v>
      </c>
      <c r="G10" s="94"/>
      <c r="H10" s="94"/>
      <c r="I10" s="94"/>
      <c r="J10" s="94"/>
      <c r="K10" s="94"/>
      <c r="L10" s="94">
        <v>1</v>
      </c>
      <c r="M10" s="94"/>
      <c r="N10" s="94">
        <f>Total!H7</f>
        <v>23</v>
      </c>
      <c r="O10" s="94"/>
      <c r="Q10" s="73" t="s">
        <v>143</v>
      </c>
      <c r="R10" s="74"/>
      <c r="S10" s="74"/>
      <c r="T10" s="74"/>
      <c r="U10" s="75"/>
    </row>
    <row r="11" spans="2:21" ht="18" thickBot="1" x14ac:dyDescent="0.45"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Q11" s="3"/>
      <c r="U11" s="4"/>
    </row>
    <row r="12" spans="2:21" ht="18" thickBot="1" x14ac:dyDescent="0.45">
      <c r="B12" s="94">
        <v>3</v>
      </c>
      <c r="C12" s="147" t="s">
        <v>65</v>
      </c>
      <c r="D12" s="94"/>
      <c r="E12" s="94"/>
      <c r="F12" s="147" t="s">
        <v>69</v>
      </c>
      <c r="G12" s="94"/>
      <c r="H12" s="94"/>
      <c r="I12" s="94"/>
      <c r="J12" s="94"/>
      <c r="K12" s="94"/>
      <c r="L12" s="94">
        <v>10</v>
      </c>
      <c r="M12" s="94"/>
      <c r="N12" s="147">
        <f>Total!H15</f>
        <v>12</v>
      </c>
      <c r="O12" s="94"/>
      <c r="Q12" s="10" t="s">
        <v>160</v>
      </c>
      <c r="R12" s="7">
        <v>5</v>
      </c>
      <c r="T12">
        <f>1/(R12/R15)</f>
        <v>0.32</v>
      </c>
      <c r="U12" s="4"/>
    </row>
    <row r="13" spans="2:21" ht="18" thickBot="1" x14ac:dyDescent="0.45"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Q13" s="3"/>
      <c r="T13">
        <f>T12/(1-T12)</f>
        <v>0.4705882352941177</v>
      </c>
      <c r="U13" s="4"/>
    </row>
    <row r="14" spans="2:21" ht="18" thickBot="1" x14ac:dyDescent="0.45">
      <c r="B14" s="94">
        <v>4</v>
      </c>
      <c r="C14" s="147" t="s">
        <v>61</v>
      </c>
      <c r="D14" s="94"/>
      <c r="E14" s="94"/>
      <c r="F14" s="147" t="s">
        <v>66</v>
      </c>
      <c r="G14" s="94"/>
      <c r="H14" s="94"/>
      <c r="I14" s="94"/>
      <c r="J14" s="94"/>
      <c r="K14" s="94"/>
      <c r="L14" s="94">
        <v>1</v>
      </c>
      <c r="M14" s="94"/>
      <c r="N14" s="94">
        <f>Total!H29</f>
        <v>36</v>
      </c>
      <c r="O14" s="94"/>
      <c r="Q14" s="3"/>
      <c r="T14" s="10" t="s">
        <v>133</v>
      </c>
      <c r="U14" s="8" t="s">
        <v>134</v>
      </c>
    </row>
    <row r="15" spans="2:21" ht="18" thickBot="1" x14ac:dyDescent="0.45"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Q15" s="6" t="s">
        <v>142</v>
      </c>
      <c r="R15" s="7">
        <v>1.6</v>
      </c>
      <c r="S15" s="5"/>
      <c r="T15" s="9">
        <v>70</v>
      </c>
      <c r="U15" s="7">
        <f>$T$13*T15</f>
        <v>32.941176470588239</v>
      </c>
    </row>
    <row r="16" spans="2:21" x14ac:dyDescent="0.4">
      <c r="B16" s="94">
        <v>5</v>
      </c>
      <c r="C16" s="147" t="s">
        <v>62</v>
      </c>
      <c r="D16" s="94"/>
      <c r="E16" s="94"/>
      <c r="F16" s="147" t="s">
        <v>68</v>
      </c>
      <c r="G16" s="94"/>
      <c r="H16" s="94"/>
      <c r="I16" s="94"/>
      <c r="J16" s="94"/>
      <c r="K16" s="94"/>
      <c r="L16" s="94">
        <v>1</v>
      </c>
      <c r="M16" s="94"/>
      <c r="N16" s="94">
        <f>Total!H25</f>
        <v>24</v>
      </c>
      <c r="O16" s="94"/>
    </row>
    <row r="17" spans="2:15" x14ac:dyDescent="0.4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</row>
    <row r="18" spans="2:15" x14ac:dyDescent="0.4">
      <c r="B18" s="94">
        <v>6</v>
      </c>
      <c r="C18" s="147" t="s">
        <v>63</v>
      </c>
      <c r="D18" s="94"/>
      <c r="E18" s="94"/>
      <c r="F18" s="147" t="s">
        <v>67</v>
      </c>
      <c r="G18" s="94"/>
      <c r="H18" s="94"/>
      <c r="I18" s="94"/>
      <c r="J18" s="94"/>
      <c r="K18" s="94"/>
      <c r="L18" s="94">
        <v>5</v>
      </c>
      <c r="M18" s="94"/>
      <c r="N18" s="147">
        <f>Total!H71</f>
        <v>50</v>
      </c>
      <c r="O18" s="94"/>
    </row>
    <row r="19" spans="2:15" x14ac:dyDescent="0.4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</row>
    <row r="20" spans="2:15" x14ac:dyDescent="0.4">
      <c r="B20" s="94">
        <v>7</v>
      </c>
      <c r="C20" s="147" t="s">
        <v>87</v>
      </c>
      <c r="D20" s="94"/>
      <c r="E20" s="94"/>
      <c r="F20" s="147" t="s">
        <v>70</v>
      </c>
      <c r="G20" s="94"/>
      <c r="H20" s="94"/>
      <c r="I20" s="94"/>
      <c r="J20" s="94"/>
      <c r="K20" s="94"/>
      <c r="L20" s="94">
        <v>3</v>
      </c>
      <c r="M20" s="94"/>
      <c r="N20" s="94">
        <f>Total!H23</f>
        <v>40</v>
      </c>
      <c r="O20" s="94"/>
    </row>
    <row r="21" spans="2:15" x14ac:dyDescent="0.4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</row>
    <row r="22" spans="2:15" x14ac:dyDescent="0.4">
      <c r="B22" s="94">
        <v>8</v>
      </c>
      <c r="C22" s="147" t="s">
        <v>88</v>
      </c>
      <c r="D22" s="94"/>
      <c r="E22" s="94"/>
      <c r="F22" s="147" t="s">
        <v>71</v>
      </c>
      <c r="G22" s="94"/>
      <c r="H22" s="94"/>
      <c r="I22" s="94"/>
      <c r="J22" s="94"/>
      <c r="K22" s="94"/>
      <c r="L22" s="94">
        <v>4</v>
      </c>
      <c r="M22" s="94"/>
      <c r="N22" s="94">
        <f>Total!H47</f>
        <v>36</v>
      </c>
      <c r="O22" s="94"/>
    </row>
    <row r="23" spans="2:15" x14ac:dyDescent="0.4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</row>
    <row r="24" spans="2:15" x14ac:dyDescent="0.4">
      <c r="B24" s="94">
        <v>9</v>
      </c>
      <c r="C24" s="147" t="s">
        <v>64</v>
      </c>
      <c r="D24" s="94"/>
      <c r="E24" s="94"/>
      <c r="F24" s="147" t="s">
        <v>83</v>
      </c>
      <c r="G24" s="94"/>
      <c r="H24" s="94"/>
      <c r="I24" s="94"/>
      <c r="J24" s="94"/>
      <c r="K24" s="94"/>
      <c r="L24" s="94">
        <v>2</v>
      </c>
      <c r="M24" s="94"/>
      <c r="N24" s="94">
        <f>Total!H73</f>
        <v>10</v>
      </c>
      <c r="O24" s="94"/>
    </row>
    <row r="25" spans="2:15" x14ac:dyDescent="0.4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2:15" x14ac:dyDescent="0.4">
      <c r="B26" s="94">
        <v>10</v>
      </c>
      <c r="C26" s="147" t="s">
        <v>161</v>
      </c>
      <c r="D26" s="94"/>
      <c r="E26" s="94"/>
      <c r="F26" s="147" t="s">
        <v>72</v>
      </c>
      <c r="G26" s="94"/>
      <c r="H26" s="94"/>
      <c r="I26" s="94"/>
      <c r="J26" s="94"/>
      <c r="K26" s="94"/>
      <c r="L26" s="94">
        <v>9</v>
      </c>
      <c r="M26" s="94"/>
      <c r="N26" s="147">
        <f>Total!H49</f>
        <v>50</v>
      </c>
      <c r="O26" s="94"/>
    </row>
    <row r="27" spans="2:15" x14ac:dyDescent="0.4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2:15" x14ac:dyDescent="0.4">
      <c r="B28" s="94">
        <v>11</v>
      </c>
      <c r="C28" s="147" t="s">
        <v>162</v>
      </c>
      <c r="D28" s="94"/>
      <c r="E28" s="94"/>
      <c r="F28" s="147" t="s">
        <v>73</v>
      </c>
      <c r="G28" s="94"/>
      <c r="H28" s="94"/>
      <c r="I28" s="94"/>
      <c r="J28" s="94"/>
      <c r="K28" s="94"/>
      <c r="L28" s="94">
        <v>5</v>
      </c>
      <c r="M28" s="94"/>
      <c r="N28" s="147">
        <f>Total!H19</f>
        <v>50</v>
      </c>
      <c r="O28" s="94"/>
    </row>
    <row r="29" spans="2:15" x14ac:dyDescent="0.4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2:15" x14ac:dyDescent="0.4">
      <c r="B30" s="94">
        <v>12</v>
      </c>
      <c r="C30" s="147" t="s">
        <v>42</v>
      </c>
      <c r="D30" s="94"/>
      <c r="E30" s="94"/>
      <c r="F30" s="147" t="s">
        <v>50</v>
      </c>
      <c r="G30" s="94"/>
      <c r="H30" s="94"/>
      <c r="I30" s="94"/>
      <c r="J30" s="94"/>
      <c r="K30" s="94"/>
      <c r="L30" s="94">
        <v>1</v>
      </c>
      <c r="M30" s="94"/>
      <c r="N30" s="147">
        <f>Total!H27</f>
        <v>50</v>
      </c>
      <c r="O30" s="94"/>
    </row>
    <row r="31" spans="2:15" x14ac:dyDescent="0.4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2:15" x14ac:dyDescent="0.4">
      <c r="B32" s="94">
        <v>13</v>
      </c>
      <c r="C32" s="147" t="s">
        <v>41</v>
      </c>
      <c r="D32" s="94"/>
      <c r="E32" s="94"/>
      <c r="F32" s="147" t="s">
        <v>80</v>
      </c>
      <c r="G32" s="94"/>
      <c r="H32" s="94"/>
      <c r="I32" s="94"/>
      <c r="J32" s="94"/>
      <c r="K32" s="94"/>
      <c r="L32" s="94">
        <v>2</v>
      </c>
      <c r="M32" s="94"/>
      <c r="N32" s="147">
        <f>Total!H43</f>
        <v>100</v>
      </c>
      <c r="O32" s="94"/>
    </row>
    <row r="33" spans="2:15" x14ac:dyDescent="0.4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4">
      <c r="B34" s="94">
        <v>14</v>
      </c>
      <c r="C34" s="147" t="s">
        <v>127</v>
      </c>
      <c r="D34" s="94"/>
      <c r="E34" s="94"/>
      <c r="F34" s="147" t="s">
        <v>74</v>
      </c>
      <c r="G34" s="94"/>
      <c r="H34" s="94"/>
      <c r="I34" s="94"/>
      <c r="J34" s="94"/>
      <c r="K34" s="94"/>
      <c r="L34" s="94">
        <v>1</v>
      </c>
      <c r="M34" s="94"/>
      <c r="N34" s="147">
        <f>Total!H75</f>
        <v>50</v>
      </c>
      <c r="O34" s="94"/>
    </row>
    <row r="35" spans="2:15" x14ac:dyDescent="0.4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4">
      <c r="B36" s="94">
        <v>15</v>
      </c>
      <c r="C36" s="147" t="s">
        <v>128</v>
      </c>
      <c r="D36" s="94"/>
      <c r="E36" s="94"/>
      <c r="F36" s="147" t="s">
        <v>75</v>
      </c>
      <c r="G36" s="94"/>
      <c r="H36" s="94"/>
      <c r="I36" s="94"/>
      <c r="J36" s="94"/>
      <c r="K36" s="94"/>
      <c r="L36" s="94">
        <v>1</v>
      </c>
      <c r="M36" s="94"/>
      <c r="N36" s="147">
        <f>Total!H77</f>
        <v>50</v>
      </c>
      <c r="O36" s="94"/>
    </row>
    <row r="37" spans="2:15" x14ac:dyDescent="0.4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4">
      <c r="B38" s="94">
        <v>16</v>
      </c>
      <c r="C38" s="147" t="s">
        <v>129</v>
      </c>
      <c r="D38" s="94"/>
      <c r="E38" s="94"/>
      <c r="F38" s="147" t="s">
        <v>76</v>
      </c>
      <c r="G38" s="94"/>
      <c r="H38" s="94"/>
      <c r="I38" s="94"/>
      <c r="J38" s="94"/>
      <c r="K38" s="94"/>
      <c r="L38" s="94">
        <v>1</v>
      </c>
      <c r="M38" s="94"/>
      <c r="N38" s="147">
        <f>Total!H79</f>
        <v>50</v>
      </c>
      <c r="O38" s="94"/>
    </row>
    <row r="39" spans="2:15" x14ac:dyDescent="0.4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4">
      <c r="B40" s="94">
        <v>17</v>
      </c>
      <c r="C40" s="147" t="s">
        <v>136</v>
      </c>
      <c r="D40" s="94"/>
      <c r="E40" s="94"/>
      <c r="F40" s="147" t="s">
        <v>77</v>
      </c>
      <c r="G40" s="94"/>
      <c r="H40" s="94"/>
      <c r="I40" s="94"/>
      <c r="J40" s="94"/>
      <c r="K40" s="94"/>
      <c r="L40" s="94">
        <v>1</v>
      </c>
      <c r="M40" s="94"/>
      <c r="N40" s="94">
        <f>Total!H31</f>
        <v>0</v>
      </c>
      <c r="O40" s="94"/>
    </row>
    <row r="41" spans="2:15" x14ac:dyDescent="0.4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4">
      <c r="B42" s="94">
        <v>18</v>
      </c>
      <c r="C42" s="147" t="s">
        <v>130</v>
      </c>
      <c r="D42" s="94"/>
      <c r="E42" s="94"/>
      <c r="F42" s="147" t="s">
        <v>164</v>
      </c>
      <c r="G42" s="94"/>
      <c r="H42" s="94"/>
      <c r="I42" s="94"/>
      <c r="J42" s="94"/>
      <c r="K42" s="94"/>
      <c r="L42" s="94">
        <v>1</v>
      </c>
      <c r="M42" s="94"/>
      <c r="N42" s="147">
        <f>Total!H81</f>
        <v>50</v>
      </c>
      <c r="O42" s="94"/>
    </row>
    <row r="43" spans="2:15" x14ac:dyDescent="0.4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</row>
    <row r="44" spans="2:15" x14ac:dyDescent="0.4">
      <c r="B44" s="94">
        <v>19</v>
      </c>
      <c r="C44" s="147" t="s">
        <v>135</v>
      </c>
      <c r="D44" s="94"/>
      <c r="E44" s="94"/>
      <c r="F44" s="147" t="s">
        <v>78</v>
      </c>
      <c r="G44" s="94"/>
      <c r="H44" s="94"/>
      <c r="I44" s="94"/>
      <c r="J44" s="94"/>
      <c r="K44" s="94"/>
      <c r="L44" s="94">
        <v>1</v>
      </c>
      <c r="M44" s="94"/>
      <c r="N44" s="94">
        <f>Total!H83</f>
        <v>0</v>
      </c>
      <c r="O44" s="94"/>
    </row>
    <row r="45" spans="2:15" x14ac:dyDescent="0.4"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</row>
    <row r="46" spans="2:15" x14ac:dyDescent="0.4">
      <c r="B46" s="94">
        <v>20</v>
      </c>
      <c r="C46" s="147" t="s">
        <v>163</v>
      </c>
      <c r="D46" s="94"/>
      <c r="E46" s="94"/>
      <c r="F46" s="147" t="s">
        <v>79</v>
      </c>
      <c r="G46" s="94"/>
      <c r="H46" s="94"/>
      <c r="I46" s="94"/>
      <c r="J46" s="94"/>
      <c r="K46" s="94"/>
      <c r="L46" s="94">
        <v>1</v>
      </c>
      <c r="M46" s="94"/>
      <c r="N46" s="147">
        <f>Total!H85</f>
        <v>50</v>
      </c>
      <c r="O46" s="94"/>
    </row>
    <row r="47" spans="2:15" x14ac:dyDescent="0.4"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</sheetData>
  <mergeCells count="108">
    <mergeCell ref="B38:B39"/>
    <mergeCell ref="B40:B41"/>
    <mergeCell ref="B42:B43"/>
    <mergeCell ref="B44:B45"/>
    <mergeCell ref="L46:M47"/>
    <mergeCell ref="N8:O9"/>
    <mergeCell ref="N10:O11"/>
    <mergeCell ref="N12:O13"/>
    <mergeCell ref="N14:O15"/>
    <mergeCell ref="N16:O17"/>
    <mergeCell ref="B26:B27"/>
    <mergeCell ref="B28:B29"/>
    <mergeCell ref="B30:B31"/>
    <mergeCell ref="B32:B33"/>
    <mergeCell ref="B34:B35"/>
    <mergeCell ref="B36:B37"/>
    <mergeCell ref="B46:B47"/>
    <mergeCell ref="B10:B11"/>
    <mergeCell ref="B12:B13"/>
    <mergeCell ref="B14:B15"/>
    <mergeCell ref="B16:B17"/>
    <mergeCell ref="B18:B19"/>
    <mergeCell ref="B20:B21"/>
    <mergeCell ref="B22:B23"/>
    <mergeCell ref="N42:O43"/>
    <mergeCell ref="N44:O45"/>
    <mergeCell ref="N46:O47"/>
    <mergeCell ref="L28:M29"/>
    <mergeCell ref="L30:M31"/>
    <mergeCell ref="L32:M33"/>
    <mergeCell ref="L34:M35"/>
    <mergeCell ref="L36:M37"/>
    <mergeCell ref="L38:M39"/>
    <mergeCell ref="L40:M41"/>
    <mergeCell ref="N30:O31"/>
    <mergeCell ref="N32:O33"/>
    <mergeCell ref="N34:O35"/>
    <mergeCell ref="N36:O37"/>
    <mergeCell ref="N38:O39"/>
    <mergeCell ref="N40:O41"/>
    <mergeCell ref="N28:O29"/>
    <mergeCell ref="L42:M43"/>
    <mergeCell ref="L44:M45"/>
    <mergeCell ref="L10:M11"/>
    <mergeCell ref="L12:M13"/>
    <mergeCell ref="L14:M15"/>
    <mergeCell ref="L16:M17"/>
    <mergeCell ref="L18:M19"/>
    <mergeCell ref="L20:M21"/>
    <mergeCell ref="L22:M23"/>
    <mergeCell ref="L24:M25"/>
    <mergeCell ref="C46:E47"/>
    <mergeCell ref="F8:K9"/>
    <mergeCell ref="F10:K11"/>
    <mergeCell ref="F12:K13"/>
    <mergeCell ref="F14:K15"/>
    <mergeCell ref="F16:K17"/>
    <mergeCell ref="F18:K19"/>
    <mergeCell ref="F20:K21"/>
    <mergeCell ref="F22:K23"/>
    <mergeCell ref="F36:K37"/>
    <mergeCell ref="F38:K39"/>
    <mergeCell ref="F40:K41"/>
    <mergeCell ref="F42:K43"/>
    <mergeCell ref="F44:K45"/>
    <mergeCell ref="F46:K47"/>
    <mergeCell ref="F24:K25"/>
    <mergeCell ref="F26:K27"/>
    <mergeCell ref="F28:K29"/>
    <mergeCell ref="F30:K31"/>
    <mergeCell ref="F32:K33"/>
    <mergeCell ref="F34:K35"/>
    <mergeCell ref="C40:E41"/>
    <mergeCell ref="C42:E43"/>
    <mergeCell ref="C44:E45"/>
    <mergeCell ref="C10:E11"/>
    <mergeCell ref="C12:E13"/>
    <mergeCell ref="C14:E15"/>
    <mergeCell ref="C16:E17"/>
    <mergeCell ref="C18:E19"/>
    <mergeCell ref="C20:E21"/>
    <mergeCell ref="C22:E23"/>
    <mergeCell ref="C28:E29"/>
    <mergeCell ref="C30:E31"/>
    <mergeCell ref="C32:E33"/>
    <mergeCell ref="C34:E35"/>
    <mergeCell ref="C36:E37"/>
    <mergeCell ref="C38:E39"/>
    <mergeCell ref="C8:E9"/>
    <mergeCell ref="L8:M9"/>
    <mergeCell ref="C24:E25"/>
    <mergeCell ref="C26:E27"/>
    <mergeCell ref="Q8:R8"/>
    <mergeCell ref="B2:O5"/>
    <mergeCell ref="B6:B7"/>
    <mergeCell ref="C6:E7"/>
    <mergeCell ref="F6:K7"/>
    <mergeCell ref="L6:M7"/>
    <mergeCell ref="N6:O7"/>
    <mergeCell ref="B8:B9"/>
    <mergeCell ref="L26:M27"/>
    <mergeCell ref="N18:O19"/>
    <mergeCell ref="N20:O21"/>
    <mergeCell ref="N22:O23"/>
    <mergeCell ref="N24:O25"/>
    <mergeCell ref="N26:O27"/>
    <mergeCell ref="Q10:U10"/>
    <mergeCell ref="B24:B25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8BB1-BD48-40FB-A352-5A99491999E9}">
  <dimension ref="B1:O17"/>
  <sheetViews>
    <sheetView topLeftCell="A6" workbookViewId="0">
      <selection activeCell="D28" sqref="D28"/>
    </sheetView>
  </sheetViews>
  <sheetFormatPr defaultRowHeight="17.399999999999999" x14ac:dyDescent="0.4"/>
  <sheetData>
    <row r="1" spans="2:15" ht="18" thickBot="1" x14ac:dyDescent="0.45"/>
    <row r="2" spans="2:15" x14ac:dyDescent="0.4">
      <c r="B2" s="135" t="s">
        <v>103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/>
    </row>
    <row r="3" spans="2:15" x14ac:dyDescent="0.4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40"/>
    </row>
    <row r="4" spans="2:15" x14ac:dyDescent="0.4"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40"/>
    </row>
    <row r="5" spans="2:15" ht="18" thickBot="1" x14ac:dyDescent="0.45">
      <c r="B5" s="141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3"/>
    </row>
    <row r="6" spans="2:15" x14ac:dyDescent="0.4">
      <c r="B6" s="131" t="s">
        <v>9</v>
      </c>
      <c r="C6" s="119" t="s">
        <v>8</v>
      </c>
      <c r="D6" s="120"/>
      <c r="E6" s="121"/>
      <c r="F6" s="119" t="s">
        <v>7</v>
      </c>
      <c r="G6" s="120"/>
      <c r="H6" s="120"/>
      <c r="I6" s="120"/>
      <c r="J6" s="120"/>
      <c r="K6" s="121"/>
      <c r="L6" s="119" t="s">
        <v>24</v>
      </c>
      <c r="M6" s="121"/>
      <c r="N6" s="119" t="s">
        <v>25</v>
      </c>
      <c r="O6" s="121"/>
    </row>
    <row r="7" spans="2:15" ht="18" thickBot="1" x14ac:dyDescent="0.45">
      <c r="B7" s="132"/>
      <c r="C7" s="122"/>
      <c r="D7" s="123"/>
      <c r="E7" s="124"/>
      <c r="F7" s="122"/>
      <c r="G7" s="123"/>
      <c r="H7" s="123"/>
      <c r="I7" s="123"/>
      <c r="J7" s="123"/>
      <c r="K7" s="124"/>
      <c r="L7" s="122"/>
      <c r="M7" s="124"/>
      <c r="N7" s="122"/>
      <c r="O7" s="124"/>
    </row>
    <row r="8" spans="2:15" x14ac:dyDescent="0.4">
      <c r="B8" s="103">
        <v>1</v>
      </c>
      <c r="C8" s="146" t="s">
        <v>98</v>
      </c>
      <c r="D8" s="103"/>
      <c r="E8" s="103"/>
      <c r="F8" s="146"/>
      <c r="G8" s="103"/>
      <c r="H8" s="103"/>
      <c r="I8" s="103"/>
      <c r="J8" s="103"/>
      <c r="K8" s="103"/>
      <c r="L8" s="103">
        <v>3</v>
      </c>
      <c r="M8" s="103"/>
      <c r="N8" s="103">
        <f>Total!H9</f>
        <v>26</v>
      </c>
      <c r="O8" s="103"/>
    </row>
    <row r="9" spans="2:15" x14ac:dyDescent="0.4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</row>
    <row r="10" spans="2:15" x14ac:dyDescent="0.4">
      <c r="B10" s="94">
        <v>2</v>
      </c>
      <c r="C10" s="147" t="s">
        <v>138</v>
      </c>
      <c r="D10" s="94"/>
      <c r="E10" s="94"/>
      <c r="F10" s="147" t="s">
        <v>140</v>
      </c>
      <c r="G10" s="94"/>
      <c r="H10" s="94"/>
      <c r="I10" s="94"/>
      <c r="J10" s="94"/>
      <c r="K10" s="94"/>
      <c r="L10" s="94">
        <v>1</v>
      </c>
      <c r="M10" s="94"/>
      <c r="N10" s="94">
        <f>Total!H51</f>
        <v>0</v>
      </c>
      <c r="O10" s="94"/>
    </row>
    <row r="11" spans="2:15" x14ac:dyDescent="0.4"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</row>
    <row r="12" spans="2:15" x14ac:dyDescent="0.4">
      <c r="B12" s="94">
        <v>3</v>
      </c>
      <c r="C12" s="147" t="s">
        <v>92</v>
      </c>
      <c r="D12" s="94"/>
      <c r="E12" s="94"/>
      <c r="F12" s="147" t="s">
        <v>141</v>
      </c>
      <c r="G12" s="94"/>
      <c r="H12" s="94"/>
      <c r="I12" s="94"/>
      <c r="J12" s="94"/>
      <c r="K12" s="94"/>
      <c r="L12" s="94">
        <v>1</v>
      </c>
      <c r="M12" s="94"/>
      <c r="N12" s="147">
        <f>Total!H45</f>
        <v>12</v>
      </c>
      <c r="O12" s="94"/>
    </row>
    <row r="13" spans="2:15" x14ac:dyDescent="0.4"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2:15" x14ac:dyDescent="0.4">
      <c r="B14" s="94">
        <v>4</v>
      </c>
      <c r="C14" s="147"/>
      <c r="D14" s="94"/>
      <c r="E14" s="94"/>
      <c r="F14" s="147"/>
      <c r="G14" s="94"/>
      <c r="H14" s="94"/>
      <c r="I14" s="94"/>
      <c r="J14" s="94"/>
      <c r="K14" s="94"/>
      <c r="L14" s="94"/>
      <c r="M14" s="94"/>
      <c r="N14" s="94"/>
      <c r="O14" s="94"/>
    </row>
    <row r="15" spans="2:15" x14ac:dyDescent="0.4"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</row>
    <row r="16" spans="2:15" x14ac:dyDescent="0.4">
      <c r="B16" s="94">
        <v>5</v>
      </c>
      <c r="C16" s="147"/>
      <c r="D16" s="94"/>
      <c r="E16" s="94"/>
      <c r="F16" s="147"/>
      <c r="G16" s="94"/>
      <c r="H16" s="94"/>
      <c r="I16" s="94"/>
      <c r="J16" s="94"/>
      <c r="K16" s="94"/>
      <c r="L16" s="94"/>
      <c r="M16" s="94"/>
      <c r="N16" s="94"/>
      <c r="O16" s="94"/>
    </row>
    <row r="17" spans="2:15" x14ac:dyDescent="0.4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</row>
  </sheetData>
  <mergeCells count="31">
    <mergeCell ref="B16:B17"/>
    <mergeCell ref="C16:E17"/>
    <mergeCell ref="F16:K17"/>
    <mergeCell ref="L16:M17"/>
    <mergeCell ref="N16:O17"/>
    <mergeCell ref="B12:B13"/>
    <mergeCell ref="C12:E13"/>
    <mergeCell ref="F12:K13"/>
    <mergeCell ref="L12:M13"/>
    <mergeCell ref="N12:O13"/>
    <mergeCell ref="B14:B15"/>
    <mergeCell ref="C14:E15"/>
    <mergeCell ref="F14:K15"/>
    <mergeCell ref="L14:M15"/>
    <mergeCell ref="N14:O15"/>
    <mergeCell ref="B8:B9"/>
    <mergeCell ref="C8:E9"/>
    <mergeCell ref="F8:K9"/>
    <mergeCell ref="L8:M9"/>
    <mergeCell ref="N8:O9"/>
    <mergeCell ref="B10:B11"/>
    <mergeCell ref="C10:E11"/>
    <mergeCell ref="F10:K11"/>
    <mergeCell ref="L10:M11"/>
    <mergeCell ref="N10:O11"/>
    <mergeCell ref="B2:O5"/>
    <mergeCell ref="B6:B7"/>
    <mergeCell ref="C6:E7"/>
    <mergeCell ref="F6:K7"/>
    <mergeCell ref="L6:M7"/>
    <mergeCell ref="N6:O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4F82E7-AF6A-4D88-A56D-2B7A509136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101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Total</vt:lpstr>
      <vt:lpstr>HVBOX</vt:lpstr>
      <vt:lpstr>SDC</vt:lpstr>
      <vt:lpstr>BSPD</vt:lpstr>
      <vt:lpstr>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김하성</dc:creator>
  <cp:lastModifiedBy>김하성</cp:lastModifiedBy>
  <cp:revision>11</cp:revision>
  <dcterms:created xsi:type="dcterms:W3CDTF">2024-08-14T06:51:31Z</dcterms:created>
  <dcterms:modified xsi:type="dcterms:W3CDTF">2024-08-28T05:25:52Z</dcterms:modified>
  <cp:version>1100.0100.01</cp:version>
</cp:coreProperties>
</file>